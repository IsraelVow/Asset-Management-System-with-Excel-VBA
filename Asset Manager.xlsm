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Personal Folder\VBA Projects\Asset-Management-System-with-Excel-VBA\"/>
    </mc:Choice>
  </mc:AlternateContent>
  <xr:revisionPtr revIDLastSave="0" documentId="13_ncr:1_{85CE69ED-D73E-4794-9A04-3008849EE3CC}" xr6:coauthVersionLast="47" xr6:coauthVersionMax="47" xr10:uidLastSave="{00000000-0000-0000-0000-000000000000}"/>
  <bookViews>
    <workbookView xWindow="-120" yWindow="-120" windowWidth="20730" windowHeight="11160" activeTab="3" xr2:uid="{70824105-E875-4FC2-B336-A0C3F02C8CF8}"/>
  </bookViews>
  <sheets>
    <sheet name="Report" sheetId="1" r:id="rId1"/>
    <sheet name="Inventory" sheetId="6" r:id="rId2"/>
    <sheet name="Stock In-Out" sheetId="2" r:id="rId3"/>
    <sheet name="Product Master" sheetId="7" r:id="rId4"/>
    <sheet name="Support" sheetId="4" r:id="rId5"/>
  </sheets>
  <definedNames>
    <definedName name="_xlnm._FilterDatabase" localSheetId="1" hidden="1">Inventory!$A$1:$L$500</definedName>
    <definedName name="_xlnm._FilterDatabase" localSheetId="3" hidden="1">'Product Master'!$C$1:$O$41</definedName>
    <definedName name="_xlnm._FilterDatabase" localSheetId="0" hidden="1">Report!$A$10:$J$52</definedName>
    <definedName name="_xlnm._FilterDatabase" localSheetId="2" hidden="1">'Stock In-Out'!$A$1:$F$100</definedName>
    <definedName name="AssetCategory">OFFSET(Support!$H$2,,,COUNTA(Support!$H:$H)-1,1)</definedName>
    <definedName name="Product_ID" localSheetId="3">OFFSET('Product Master'!$C$2,,,COUNTA('Product Master'!$C:$C)-1,1)</definedName>
    <definedName name="Product_ID">OFFSET(#REF!,,,COUNTA(#REF!)-1,1)</definedName>
    <definedName name="StoredBy">OFFSET(Support!$L$2,,,COUNTA(Support!$L:$L)-1,1)</definedName>
    <definedName name="StoreRoom">OFFSET(Support!$J$2,,,COUNTA(Support!$J:$J)-1,1)</definedName>
  </definedNames>
  <calcPr calcId="181029"/>
</workbook>
</file>

<file path=xl/calcChain.xml><?xml version="1.0" encoding="utf-8"?>
<calcChain xmlns="http://schemas.openxmlformats.org/spreadsheetml/2006/main">
  <c r="F36" i="7" l="1"/>
  <c r="F3" i="7"/>
  <c r="F4" i="7"/>
  <c r="F5" i="7"/>
  <c r="F6" i="7"/>
  <c r="F7" i="7"/>
  <c r="F8" i="7"/>
  <c r="F9" i="7"/>
  <c r="L9" i="6" s="1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2" i="7"/>
  <c r="L5" i="6"/>
  <c r="E3" i="2"/>
  <c r="F3" i="2" s="1"/>
  <c r="G3" i="2"/>
  <c r="H3" i="2" s="1"/>
  <c r="E4" i="2"/>
  <c r="F4" i="2" s="1"/>
  <c r="G4" i="2"/>
  <c r="H4" i="2" s="1"/>
  <c r="E5" i="2"/>
  <c r="F5" i="2" s="1"/>
  <c r="G5" i="2"/>
  <c r="H5" i="2" s="1"/>
  <c r="E6" i="2"/>
  <c r="F6" i="2" s="1"/>
  <c r="G6" i="2"/>
  <c r="H6" i="2" s="1"/>
  <c r="E7" i="2"/>
  <c r="F7" i="2" s="1"/>
  <c r="G7" i="2"/>
  <c r="H7" i="2" s="1"/>
  <c r="E8" i="2"/>
  <c r="F8" i="2" s="1"/>
  <c r="G8" i="2"/>
  <c r="H8" i="2" s="1"/>
  <c r="E9" i="2"/>
  <c r="F9" i="2" s="1"/>
  <c r="G9" i="2"/>
  <c r="H9" i="2" s="1"/>
  <c r="E10" i="2"/>
  <c r="F10" i="2" s="1"/>
  <c r="G10" i="2"/>
  <c r="H10" i="2" s="1"/>
  <c r="E11" i="2"/>
  <c r="F11" i="2" s="1"/>
  <c r="G11" i="2"/>
  <c r="H11" i="2" s="1"/>
  <c r="E12" i="2"/>
  <c r="F12" i="2" s="1"/>
  <c r="G12" i="2"/>
  <c r="H12" i="2" s="1"/>
  <c r="E13" i="2"/>
  <c r="F13" i="2" s="1"/>
  <c r="G13" i="2"/>
  <c r="H13" i="2" s="1"/>
  <c r="E14" i="2"/>
  <c r="F14" i="2" s="1"/>
  <c r="G14" i="2"/>
  <c r="H14" i="2" s="1"/>
  <c r="E15" i="2"/>
  <c r="F15" i="2" s="1"/>
  <c r="G15" i="2"/>
  <c r="H15" i="2" s="1"/>
  <c r="E16" i="2"/>
  <c r="F16" i="2" s="1"/>
  <c r="G16" i="2"/>
  <c r="H16" i="2" s="1"/>
  <c r="E17" i="2"/>
  <c r="F17" i="2" s="1"/>
  <c r="G17" i="2"/>
  <c r="H17" i="2" s="1"/>
  <c r="E18" i="2"/>
  <c r="F18" i="2" s="1"/>
  <c r="G18" i="2"/>
  <c r="H18" i="2" s="1"/>
  <c r="E19" i="2"/>
  <c r="F19" i="2" s="1"/>
  <c r="G19" i="2"/>
  <c r="H19" i="2" s="1"/>
  <c r="E20" i="2"/>
  <c r="F20" i="2" s="1"/>
  <c r="G20" i="2"/>
  <c r="H20" i="2" s="1"/>
  <c r="E21" i="2"/>
  <c r="F21" i="2" s="1"/>
  <c r="G21" i="2"/>
  <c r="H21" i="2" s="1"/>
  <c r="E22" i="2"/>
  <c r="F22" i="2" s="1"/>
  <c r="G22" i="2"/>
  <c r="H22" i="2" s="1"/>
  <c r="E23" i="2"/>
  <c r="F23" i="2" s="1"/>
  <c r="G23" i="2"/>
  <c r="H23" i="2" s="1"/>
  <c r="E24" i="2"/>
  <c r="F24" i="2" s="1"/>
  <c r="G24" i="2"/>
  <c r="H24" i="2" s="1"/>
  <c r="E25" i="2"/>
  <c r="F25" i="2" s="1"/>
  <c r="G25" i="2"/>
  <c r="H25" i="2" s="1"/>
  <c r="E26" i="2"/>
  <c r="F26" i="2" s="1"/>
  <c r="G26" i="2"/>
  <c r="H26" i="2" s="1"/>
  <c r="E27" i="2"/>
  <c r="F27" i="2" s="1"/>
  <c r="G27" i="2"/>
  <c r="H27" i="2" s="1"/>
  <c r="E28" i="2"/>
  <c r="F28" i="2" s="1"/>
  <c r="G28" i="2"/>
  <c r="H28" i="2" s="1"/>
  <c r="E29" i="2"/>
  <c r="F29" i="2" s="1"/>
  <c r="G29" i="2"/>
  <c r="H29" i="2" s="1"/>
  <c r="E30" i="2"/>
  <c r="F30" i="2" s="1"/>
  <c r="G30" i="2"/>
  <c r="H30" i="2" s="1"/>
  <c r="E31" i="2"/>
  <c r="F31" i="2" s="1"/>
  <c r="G31" i="2"/>
  <c r="H31" i="2" s="1"/>
  <c r="E32" i="2"/>
  <c r="F32" i="2" s="1"/>
  <c r="G32" i="2"/>
  <c r="H32" i="2" s="1"/>
  <c r="E33" i="2"/>
  <c r="F33" i="2" s="1"/>
  <c r="G33" i="2"/>
  <c r="H33" i="2" s="1"/>
  <c r="E34" i="2"/>
  <c r="F34" i="2" s="1"/>
  <c r="G34" i="2"/>
  <c r="H34" i="2" s="1"/>
  <c r="E35" i="2"/>
  <c r="F35" i="2" s="1"/>
  <c r="G35" i="2"/>
  <c r="H35" i="2" s="1"/>
  <c r="E36" i="2"/>
  <c r="F36" i="2" s="1"/>
  <c r="G36" i="2"/>
  <c r="H36" i="2" s="1"/>
  <c r="E37" i="2"/>
  <c r="F37" i="2" s="1"/>
  <c r="G37" i="2"/>
  <c r="H37" i="2" s="1"/>
  <c r="B25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2" i="6"/>
  <c r="E38" i="2"/>
  <c r="F38" i="2" s="1"/>
  <c r="G38" i="2"/>
  <c r="H38" i="2" s="1"/>
  <c r="E39" i="2"/>
  <c r="F39" i="2" s="1"/>
  <c r="G39" i="2"/>
  <c r="H39" i="2" s="1"/>
  <c r="E40" i="2"/>
  <c r="F40" i="2" s="1"/>
  <c r="G40" i="2"/>
  <c r="H40" i="2" s="1"/>
  <c r="E41" i="2"/>
  <c r="F41" i="2" s="1"/>
  <c r="G41" i="2"/>
  <c r="H41" i="2" s="1"/>
  <c r="J3" i="6" l="1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2" i="6"/>
  <c r="L7" i="6" l="1"/>
  <c r="L8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7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0" i="6"/>
  <c r="L351" i="6"/>
  <c r="L352" i="6"/>
  <c r="L353" i="6"/>
  <c r="L354" i="6"/>
  <c r="L355" i="6"/>
  <c r="L356" i="6"/>
  <c r="L357" i="6"/>
  <c r="L358" i="6"/>
  <c r="L359" i="6"/>
  <c r="L360" i="6"/>
  <c r="L361" i="6"/>
  <c r="L362" i="6"/>
  <c r="L363" i="6"/>
  <c r="L364" i="6"/>
  <c r="L365" i="6"/>
  <c r="L366" i="6"/>
  <c r="L367" i="6"/>
  <c r="L368" i="6"/>
  <c r="L369" i="6"/>
  <c r="L370" i="6"/>
  <c r="L371" i="6"/>
  <c r="L372" i="6"/>
  <c r="L373" i="6"/>
  <c r="L374" i="6"/>
  <c r="L375" i="6"/>
  <c r="L376" i="6"/>
  <c r="L377" i="6"/>
  <c r="L378" i="6"/>
  <c r="L379" i="6"/>
  <c r="L380" i="6"/>
  <c r="L381" i="6"/>
  <c r="L382" i="6"/>
  <c r="L383" i="6"/>
  <c r="L384" i="6"/>
  <c r="L385" i="6"/>
  <c r="L386" i="6"/>
  <c r="L387" i="6"/>
  <c r="L388" i="6"/>
  <c r="L389" i="6"/>
  <c r="L390" i="6"/>
  <c r="L391" i="6"/>
  <c r="L392" i="6"/>
  <c r="L393" i="6"/>
  <c r="L394" i="6"/>
  <c r="L395" i="6"/>
  <c r="L396" i="6"/>
  <c r="L397" i="6"/>
  <c r="L398" i="6"/>
  <c r="L399" i="6"/>
  <c r="L400" i="6"/>
  <c r="L401" i="6"/>
  <c r="L402" i="6"/>
  <c r="L3" i="6"/>
  <c r="L4" i="6"/>
  <c r="L6" i="6"/>
  <c r="B6" i="4" l="1"/>
  <c r="B5" i="4"/>
  <c r="B4" i="4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0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2" i="6"/>
  <c r="K443" i="6"/>
  <c r="K444" i="6"/>
  <c r="K445" i="6"/>
  <c r="K446" i="6"/>
  <c r="K447" i="6"/>
  <c r="K448" i="6"/>
  <c r="K449" i="6"/>
  <c r="K450" i="6"/>
  <c r="K451" i="6"/>
  <c r="K452" i="6"/>
  <c r="K453" i="6"/>
  <c r="K454" i="6"/>
  <c r="K455" i="6"/>
  <c r="K456" i="6"/>
  <c r="K457" i="6"/>
  <c r="K458" i="6"/>
  <c r="K459" i="6"/>
  <c r="K460" i="6"/>
  <c r="K461" i="6"/>
  <c r="K462" i="6"/>
  <c r="K463" i="6"/>
  <c r="K464" i="6"/>
  <c r="K465" i="6"/>
  <c r="K466" i="6"/>
  <c r="K467" i="6"/>
  <c r="K468" i="6"/>
  <c r="K469" i="6"/>
  <c r="K470" i="6"/>
  <c r="K471" i="6"/>
  <c r="K472" i="6"/>
  <c r="K473" i="6"/>
  <c r="K474" i="6"/>
  <c r="K475" i="6"/>
  <c r="K476" i="6"/>
  <c r="K477" i="6"/>
  <c r="K478" i="6"/>
  <c r="K479" i="6"/>
  <c r="K480" i="6"/>
  <c r="K481" i="6"/>
  <c r="K482" i="6"/>
  <c r="K483" i="6"/>
  <c r="K484" i="6"/>
  <c r="K485" i="6"/>
  <c r="K486" i="6"/>
  <c r="K487" i="6"/>
  <c r="K488" i="6"/>
  <c r="K489" i="6"/>
  <c r="K490" i="6"/>
  <c r="K491" i="6"/>
  <c r="K492" i="6"/>
  <c r="K493" i="6"/>
  <c r="K494" i="6"/>
  <c r="K495" i="6"/>
  <c r="K496" i="6"/>
  <c r="K497" i="6"/>
  <c r="K498" i="6"/>
  <c r="K499" i="6"/>
  <c r="K500" i="6"/>
  <c r="K2" i="6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2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2" i="2"/>
  <c r="B303" i="6" l="1"/>
  <c r="C303" i="6"/>
  <c r="D303" i="6"/>
  <c r="B304" i="6"/>
  <c r="C304" i="6"/>
  <c r="D304" i="6"/>
  <c r="B305" i="6"/>
  <c r="C305" i="6"/>
  <c r="D305" i="6"/>
  <c r="B306" i="6"/>
  <c r="C306" i="6"/>
  <c r="D306" i="6"/>
  <c r="B307" i="6"/>
  <c r="C307" i="6"/>
  <c r="D307" i="6"/>
  <c r="B308" i="6"/>
  <c r="C308" i="6"/>
  <c r="D308" i="6"/>
  <c r="B309" i="6"/>
  <c r="C309" i="6"/>
  <c r="D309" i="6"/>
  <c r="B310" i="6"/>
  <c r="C310" i="6"/>
  <c r="D310" i="6"/>
  <c r="B311" i="6"/>
  <c r="C311" i="6"/>
  <c r="D311" i="6"/>
  <c r="B312" i="6"/>
  <c r="C312" i="6"/>
  <c r="D312" i="6"/>
  <c r="B313" i="6"/>
  <c r="C313" i="6"/>
  <c r="D313" i="6"/>
  <c r="B314" i="6"/>
  <c r="C314" i="6"/>
  <c r="D314" i="6"/>
  <c r="B315" i="6"/>
  <c r="C315" i="6"/>
  <c r="D315" i="6"/>
  <c r="B316" i="6"/>
  <c r="C316" i="6"/>
  <c r="D316" i="6"/>
  <c r="B317" i="6"/>
  <c r="C317" i="6"/>
  <c r="D317" i="6"/>
  <c r="B318" i="6"/>
  <c r="C318" i="6"/>
  <c r="D318" i="6"/>
  <c r="B319" i="6"/>
  <c r="C319" i="6"/>
  <c r="D319" i="6"/>
  <c r="B320" i="6"/>
  <c r="C320" i="6"/>
  <c r="D320" i="6"/>
  <c r="B321" i="6"/>
  <c r="C321" i="6"/>
  <c r="D321" i="6"/>
  <c r="B322" i="6"/>
  <c r="C322" i="6"/>
  <c r="D322" i="6"/>
  <c r="B323" i="6"/>
  <c r="C323" i="6"/>
  <c r="D323" i="6"/>
  <c r="B324" i="6"/>
  <c r="C324" i="6"/>
  <c r="D324" i="6"/>
  <c r="B325" i="6"/>
  <c r="C325" i="6"/>
  <c r="D325" i="6"/>
  <c r="B326" i="6"/>
  <c r="C326" i="6"/>
  <c r="D326" i="6"/>
  <c r="B327" i="6"/>
  <c r="C327" i="6"/>
  <c r="D327" i="6"/>
  <c r="B328" i="6"/>
  <c r="C328" i="6"/>
  <c r="D328" i="6"/>
  <c r="B329" i="6"/>
  <c r="C329" i="6"/>
  <c r="D329" i="6"/>
  <c r="B330" i="6"/>
  <c r="C330" i="6"/>
  <c r="D330" i="6"/>
  <c r="B331" i="6"/>
  <c r="C331" i="6"/>
  <c r="D331" i="6"/>
  <c r="B332" i="6"/>
  <c r="C332" i="6"/>
  <c r="D332" i="6"/>
  <c r="B333" i="6"/>
  <c r="C333" i="6"/>
  <c r="D333" i="6"/>
  <c r="B334" i="6"/>
  <c r="C334" i="6"/>
  <c r="D334" i="6"/>
  <c r="B335" i="6"/>
  <c r="C335" i="6"/>
  <c r="D335" i="6"/>
  <c r="B336" i="6"/>
  <c r="C336" i="6"/>
  <c r="D336" i="6"/>
  <c r="B337" i="6"/>
  <c r="C337" i="6"/>
  <c r="D337" i="6"/>
  <c r="B338" i="6"/>
  <c r="C338" i="6"/>
  <c r="D338" i="6"/>
  <c r="B339" i="6"/>
  <c r="C339" i="6"/>
  <c r="D339" i="6"/>
  <c r="B340" i="6"/>
  <c r="C340" i="6"/>
  <c r="D340" i="6"/>
  <c r="B341" i="6"/>
  <c r="C341" i="6"/>
  <c r="D341" i="6"/>
  <c r="B342" i="6"/>
  <c r="C342" i="6"/>
  <c r="D342" i="6"/>
  <c r="B343" i="6"/>
  <c r="C343" i="6"/>
  <c r="D343" i="6"/>
  <c r="B344" i="6"/>
  <c r="C344" i="6"/>
  <c r="D344" i="6"/>
  <c r="B345" i="6"/>
  <c r="C345" i="6"/>
  <c r="D345" i="6"/>
  <c r="B346" i="6"/>
  <c r="C346" i="6"/>
  <c r="D346" i="6"/>
  <c r="B347" i="6"/>
  <c r="C347" i="6"/>
  <c r="D347" i="6"/>
  <c r="B348" i="6"/>
  <c r="C348" i="6"/>
  <c r="D348" i="6"/>
  <c r="B349" i="6"/>
  <c r="C349" i="6"/>
  <c r="D349" i="6"/>
  <c r="B350" i="6"/>
  <c r="C350" i="6"/>
  <c r="D350" i="6"/>
  <c r="B351" i="6"/>
  <c r="C351" i="6"/>
  <c r="D351" i="6"/>
  <c r="B352" i="6"/>
  <c r="C352" i="6"/>
  <c r="D352" i="6"/>
  <c r="B353" i="6"/>
  <c r="C353" i="6"/>
  <c r="D353" i="6"/>
  <c r="B354" i="6"/>
  <c r="C354" i="6"/>
  <c r="D354" i="6"/>
  <c r="B355" i="6"/>
  <c r="C355" i="6"/>
  <c r="D355" i="6"/>
  <c r="B356" i="6"/>
  <c r="C356" i="6"/>
  <c r="D356" i="6"/>
  <c r="B357" i="6"/>
  <c r="C357" i="6"/>
  <c r="D357" i="6"/>
  <c r="B358" i="6"/>
  <c r="C358" i="6"/>
  <c r="D358" i="6"/>
  <c r="B359" i="6"/>
  <c r="C359" i="6"/>
  <c r="D359" i="6"/>
  <c r="B360" i="6"/>
  <c r="C360" i="6"/>
  <c r="D360" i="6"/>
  <c r="B361" i="6"/>
  <c r="C361" i="6"/>
  <c r="D361" i="6"/>
  <c r="B362" i="6"/>
  <c r="C362" i="6"/>
  <c r="D362" i="6"/>
  <c r="B363" i="6"/>
  <c r="C363" i="6"/>
  <c r="D363" i="6"/>
  <c r="B364" i="6"/>
  <c r="C364" i="6"/>
  <c r="D364" i="6"/>
  <c r="B365" i="6"/>
  <c r="C365" i="6"/>
  <c r="D365" i="6"/>
  <c r="B366" i="6"/>
  <c r="C366" i="6"/>
  <c r="D366" i="6"/>
  <c r="B367" i="6"/>
  <c r="C367" i="6"/>
  <c r="D367" i="6"/>
  <c r="B368" i="6"/>
  <c r="C368" i="6"/>
  <c r="D368" i="6"/>
  <c r="B369" i="6"/>
  <c r="C369" i="6"/>
  <c r="D369" i="6"/>
  <c r="B370" i="6"/>
  <c r="C370" i="6"/>
  <c r="D370" i="6"/>
  <c r="B371" i="6"/>
  <c r="C371" i="6"/>
  <c r="D371" i="6"/>
  <c r="B372" i="6"/>
  <c r="C372" i="6"/>
  <c r="D372" i="6"/>
  <c r="B373" i="6"/>
  <c r="C373" i="6"/>
  <c r="D373" i="6"/>
  <c r="B374" i="6"/>
  <c r="C374" i="6"/>
  <c r="D374" i="6"/>
  <c r="B375" i="6"/>
  <c r="C375" i="6"/>
  <c r="D375" i="6"/>
  <c r="B376" i="6"/>
  <c r="C376" i="6"/>
  <c r="D376" i="6"/>
  <c r="B377" i="6"/>
  <c r="C377" i="6"/>
  <c r="D377" i="6"/>
  <c r="B378" i="6"/>
  <c r="C378" i="6"/>
  <c r="D378" i="6"/>
  <c r="B379" i="6"/>
  <c r="C379" i="6"/>
  <c r="D379" i="6"/>
  <c r="B380" i="6"/>
  <c r="C380" i="6"/>
  <c r="D380" i="6"/>
  <c r="B381" i="6"/>
  <c r="C381" i="6"/>
  <c r="D381" i="6"/>
  <c r="B382" i="6"/>
  <c r="C382" i="6"/>
  <c r="D382" i="6"/>
  <c r="B383" i="6"/>
  <c r="C383" i="6"/>
  <c r="D383" i="6"/>
  <c r="B384" i="6"/>
  <c r="C384" i="6"/>
  <c r="D384" i="6"/>
  <c r="B385" i="6"/>
  <c r="C385" i="6"/>
  <c r="D385" i="6"/>
  <c r="B386" i="6"/>
  <c r="C386" i="6"/>
  <c r="D386" i="6"/>
  <c r="B387" i="6"/>
  <c r="C387" i="6"/>
  <c r="D387" i="6"/>
  <c r="B388" i="6"/>
  <c r="C388" i="6"/>
  <c r="D388" i="6"/>
  <c r="B389" i="6"/>
  <c r="C389" i="6"/>
  <c r="D389" i="6"/>
  <c r="B390" i="6"/>
  <c r="C390" i="6"/>
  <c r="D390" i="6"/>
  <c r="B391" i="6"/>
  <c r="C391" i="6"/>
  <c r="D391" i="6"/>
  <c r="B392" i="6"/>
  <c r="C392" i="6"/>
  <c r="D392" i="6"/>
  <c r="B393" i="6"/>
  <c r="C393" i="6"/>
  <c r="D393" i="6"/>
  <c r="B394" i="6"/>
  <c r="C394" i="6"/>
  <c r="D394" i="6"/>
  <c r="B395" i="6"/>
  <c r="C395" i="6"/>
  <c r="D395" i="6"/>
  <c r="B396" i="6"/>
  <c r="C396" i="6"/>
  <c r="D396" i="6"/>
  <c r="B397" i="6"/>
  <c r="C397" i="6"/>
  <c r="D397" i="6"/>
  <c r="B398" i="6"/>
  <c r="C398" i="6"/>
  <c r="D398" i="6"/>
  <c r="B399" i="6"/>
  <c r="C399" i="6"/>
  <c r="D399" i="6"/>
  <c r="B400" i="6"/>
  <c r="C400" i="6"/>
  <c r="D400" i="6"/>
  <c r="B401" i="6"/>
  <c r="C401" i="6"/>
  <c r="D401" i="6"/>
  <c r="B402" i="6"/>
  <c r="C402" i="6"/>
  <c r="D402" i="6"/>
  <c r="B403" i="6"/>
  <c r="C403" i="6"/>
  <c r="D403" i="6"/>
  <c r="B404" i="6"/>
  <c r="C404" i="6"/>
  <c r="D404" i="6"/>
  <c r="B405" i="6"/>
  <c r="C405" i="6"/>
  <c r="D405" i="6"/>
  <c r="B406" i="6"/>
  <c r="C406" i="6"/>
  <c r="D406" i="6"/>
  <c r="B407" i="6"/>
  <c r="C407" i="6"/>
  <c r="D407" i="6"/>
  <c r="B408" i="6"/>
  <c r="C408" i="6"/>
  <c r="D408" i="6"/>
  <c r="B409" i="6"/>
  <c r="C409" i="6"/>
  <c r="D409" i="6"/>
  <c r="B410" i="6"/>
  <c r="C410" i="6"/>
  <c r="D410" i="6"/>
  <c r="B411" i="6"/>
  <c r="C411" i="6"/>
  <c r="D411" i="6"/>
  <c r="B412" i="6"/>
  <c r="C412" i="6"/>
  <c r="D412" i="6"/>
  <c r="B413" i="6"/>
  <c r="C413" i="6"/>
  <c r="D413" i="6"/>
  <c r="B414" i="6"/>
  <c r="C414" i="6"/>
  <c r="D414" i="6"/>
  <c r="B415" i="6"/>
  <c r="C415" i="6"/>
  <c r="D415" i="6"/>
  <c r="B416" i="6"/>
  <c r="C416" i="6"/>
  <c r="D416" i="6"/>
  <c r="B417" i="6"/>
  <c r="C417" i="6"/>
  <c r="D417" i="6"/>
  <c r="B418" i="6"/>
  <c r="C418" i="6"/>
  <c r="D418" i="6"/>
  <c r="B419" i="6"/>
  <c r="C419" i="6"/>
  <c r="D419" i="6"/>
  <c r="B420" i="6"/>
  <c r="C420" i="6"/>
  <c r="D420" i="6"/>
  <c r="B421" i="6"/>
  <c r="C421" i="6"/>
  <c r="D421" i="6"/>
  <c r="B422" i="6"/>
  <c r="C422" i="6"/>
  <c r="D422" i="6"/>
  <c r="B423" i="6"/>
  <c r="C423" i="6"/>
  <c r="D423" i="6"/>
  <c r="B424" i="6"/>
  <c r="C424" i="6"/>
  <c r="D424" i="6"/>
  <c r="B425" i="6"/>
  <c r="C425" i="6"/>
  <c r="D425" i="6"/>
  <c r="B426" i="6"/>
  <c r="C426" i="6"/>
  <c r="D426" i="6"/>
  <c r="B427" i="6"/>
  <c r="C427" i="6"/>
  <c r="D427" i="6"/>
  <c r="B428" i="6"/>
  <c r="C428" i="6"/>
  <c r="D428" i="6"/>
  <c r="B429" i="6"/>
  <c r="C429" i="6"/>
  <c r="D429" i="6"/>
  <c r="B430" i="6"/>
  <c r="C430" i="6"/>
  <c r="D430" i="6"/>
  <c r="B431" i="6"/>
  <c r="C431" i="6"/>
  <c r="D431" i="6"/>
  <c r="B432" i="6"/>
  <c r="C432" i="6"/>
  <c r="D432" i="6"/>
  <c r="B433" i="6"/>
  <c r="C433" i="6"/>
  <c r="D433" i="6"/>
  <c r="B434" i="6"/>
  <c r="C434" i="6"/>
  <c r="D434" i="6"/>
  <c r="B435" i="6"/>
  <c r="C435" i="6"/>
  <c r="D435" i="6"/>
  <c r="B436" i="6"/>
  <c r="C436" i="6"/>
  <c r="D436" i="6"/>
  <c r="B437" i="6"/>
  <c r="C437" i="6"/>
  <c r="D437" i="6"/>
  <c r="B438" i="6"/>
  <c r="C438" i="6"/>
  <c r="D438" i="6"/>
  <c r="B439" i="6"/>
  <c r="C439" i="6"/>
  <c r="D439" i="6"/>
  <c r="B440" i="6"/>
  <c r="C440" i="6"/>
  <c r="D440" i="6"/>
  <c r="B441" i="6"/>
  <c r="C441" i="6"/>
  <c r="D441" i="6"/>
  <c r="B442" i="6"/>
  <c r="C442" i="6"/>
  <c r="D442" i="6"/>
  <c r="B443" i="6"/>
  <c r="C443" i="6"/>
  <c r="D443" i="6"/>
  <c r="B444" i="6"/>
  <c r="C444" i="6"/>
  <c r="D444" i="6"/>
  <c r="B445" i="6"/>
  <c r="C445" i="6"/>
  <c r="D445" i="6"/>
  <c r="B446" i="6"/>
  <c r="C446" i="6"/>
  <c r="D446" i="6"/>
  <c r="B447" i="6"/>
  <c r="C447" i="6"/>
  <c r="D447" i="6"/>
  <c r="B448" i="6"/>
  <c r="C448" i="6"/>
  <c r="D448" i="6"/>
  <c r="B449" i="6"/>
  <c r="C449" i="6"/>
  <c r="D449" i="6"/>
  <c r="B450" i="6"/>
  <c r="C450" i="6"/>
  <c r="D450" i="6"/>
  <c r="B451" i="6"/>
  <c r="C451" i="6"/>
  <c r="D451" i="6"/>
  <c r="B452" i="6"/>
  <c r="C452" i="6"/>
  <c r="D452" i="6"/>
  <c r="B453" i="6"/>
  <c r="C453" i="6"/>
  <c r="D453" i="6"/>
  <c r="B454" i="6"/>
  <c r="C454" i="6"/>
  <c r="D454" i="6"/>
  <c r="B455" i="6"/>
  <c r="C455" i="6"/>
  <c r="D455" i="6"/>
  <c r="B456" i="6"/>
  <c r="C456" i="6"/>
  <c r="D456" i="6"/>
  <c r="B457" i="6"/>
  <c r="C457" i="6"/>
  <c r="D457" i="6"/>
  <c r="B458" i="6"/>
  <c r="C458" i="6"/>
  <c r="D458" i="6"/>
  <c r="B459" i="6"/>
  <c r="C459" i="6"/>
  <c r="D459" i="6"/>
  <c r="B460" i="6"/>
  <c r="C460" i="6"/>
  <c r="D460" i="6"/>
  <c r="B461" i="6"/>
  <c r="C461" i="6"/>
  <c r="D461" i="6"/>
  <c r="B462" i="6"/>
  <c r="C462" i="6"/>
  <c r="D462" i="6"/>
  <c r="B463" i="6"/>
  <c r="C463" i="6"/>
  <c r="D463" i="6"/>
  <c r="B464" i="6"/>
  <c r="C464" i="6"/>
  <c r="D464" i="6"/>
  <c r="B465" i="6"/>
  <c r="C465" i="6"/>
  <c r="D465" i="6"/>
  <c r="B466" i="6"/>
  <c r="C466" i="6"/>
  <c r="D466" i="6"/>
  <c r="B467" i="6"/>
  <c r="C467" i="6"/>
  <c r="D467" i="6"/>
  <c r="B468" i="6"/>
  <c r="C468" i="6"/>
  <c r="D468" i="6"/>
  <c r="B469" i="6"/>
  <c r="C469" i="6"/>
  <c r="D469" i="6"/>
  <c r="B470" i="6"/>
  <c r="C470" i="6"/>
  <c r="D470" i="6"/>
  <c r="B471" i="6"/>
  <c r="C471" i="6"/>
  <c r="D471" i="6"/>
  <c r="B472" i="6"/>
  <c r="C472" i="6"/>
  <c r="D472" i="6"/>
  <c r="B473" i="6"/>
  <c r="C473" i="6"/>
  <c r="D473" i="6"/>
  <c r="B474" i="6"/>
  <c r="C474" i="6"/>
  <c r="D474" i="6"/>
  <c r="B475" i="6"/>
  <c r="C475" i="6"/>
  <c r="D475" i="6"/>
  <c r="B476" i="6"/>
  <c r="C476" i="6"/>
  <c r="D476" i="6"/>
  <c r="B477" i="6"/>
  <c r="C477" i="6"/>
  <c r="D477" i="6"/>
  <c r="B478" i="6"/>
  <c r="C478" i="6"/>
  <c r="D478" i="6"/>
  <c r="B479" i="6"/>
  <c r="C479" i="6"/>
  <c r="D479" i="6"/>
  <c r="B480" i="6"/>
  <c r="C480" i="6"/>
  <c r="D480" i="6"/>
  <c r="B481" i="6"/>
  <c r="C481" i="6"/>
  <c r="D481" i="6"/>
  <c r="B482" i="6"/>
  <c r="C482" i="6"/>
  <c r="D482" i="6"/>
  <c r="B483" i="6"/>
  <c r="C483" i="6"/>
  <c r="D483" i="6"/>
  <c r="B484" i="6"/>
  <c r="C484" i="6"/>
  <c r="D484" i="6"/>
  <c r="B485" i="6"/>
  <c r="C485" i="6"/>
  <c r="D485" i="6"/>
  <c r="B486" i="6"/>
  <c r="C486" i="6"/>
  <c r="D486" i="6"/>
  <c r="B487" i="6"/>
  <c r="C487" i="6"/>
  <c r="D487" i="6"/>
  <c r="B488" i="6"/>
  <c r="C488" i="6"/>
  <c r="D488" i="6"/>
  <c r="B489" i="6"/>
  <c r="C489" i="6"/>
  <c r="D489" i="6"/>
  <c r="B490" i="6"/>
  <c r="C490" i="6"/>
  <c r="D490" i="6"/>
  <c r="B491" i="6"/>
  <c r="C491" i="6"/>
  <c r="D491" i="6"/>
  <c r="B492" i="6"/>
  <c r="C492" i="6"/>
  <c r="D492" i="6"/>
  <c r="B493" i="6"/>
  <c r="C493" i="6"/>
  <c r="D493" i="6"/>
  <c r="B494" i="6"/>
  <c r="C494" i="6"/>
  <c r="D494" i="6"/>
  <c r="B495" i="6"/>
  <c r="C495" i="6"/>
  <c r="D495" i="6"/>
  <c r="B496" i="6"/>
  <c r="C496" i="6"/>
  <c r="D496" i="6"/>
  <c r="B497" i="6"/>
  <c r="C497" i="6"/>
  <c r="D497" i="6"/>
  <c r="B498" i="6"/>
  <c r="C498" i="6"/>
  <c r="D498" i="6"/>
  <c r="B499" i="6"/>
  <c r="C499" i="6"/>
  <c r="D499" i="6"/>
  <c r="B500" i="6"/>
  <c r="C500" i="6"/>
  <c r="D500" i="6"/>
  <c r="F42" i="2"/>
  <c r="H42" i="2"/>
  <c r="F43" i="2"/>
  <c r="H43" i="2"/>
  <c r="F44" i="2"/>
  <c r="H44" i="2"/>
  <c r="F45" i="2"/>
  <c r="H45" i="2"/>
  <c r="F46" i="2"/>
  <c r="H46" i="2"/>
  <c r="F47" i="2"/>
  <c r="H47" i="2"/>
  <c r="F48" i="2"/>
  <c r="H48" i="2"/>
  <c r="F49" i="2"/>
  <c r="H49" i="2"/>
  <c r="F50" i="2"/>
  <c r="H50" i="2"/>
  <c r="F51" i="2"/>
  <c r="H51" i="2"/>
  <c r="F52" i="2"/>
  <c r="H52" i="2"/>
  <c r="F53" i="2"/>
  <c r="H53" i="2"/>
  <c r="F54" i="2"/>
  <c r="H54" i="2"/>
  <c r="B70" i="6"/>
  <c r="C70" i="6"/>
  <c r="D70" i="6"/>
  <c r="B71" i="6"/>
  <c r="C71" i="6"/>
  <c r="D71" i="6"/>
  <c r="B72" i="6"/>
  <c r="C72" i="6"/>
  <c r="D72" i="6"/>
  <c r="B73" i="6"/>
  <c r="C73" i="6"/>
  <c r="D73" i="6"/>
  <c r="B74" i="6"/>
  <c r="C74" i="6"/>
  <c r="D74" i="6"/>
  <c r="B75" i="6"/>
  <c r="C75" i="6"/>
  <c r="D75" i="6"/>
  <c r="B76" i="6"/>
  <c r="C76" i="6"/>
  <c r="D76" i="6"/>
  <c r="B77" i="6"/>
  <c r="C77" i="6"/>
  <c r="D77" i="6"/>
  <c r="B78" i="6"/>
  <c r="C78" i="6"/>
  <c r="D78" i="6"/>
  <c r="B79" i="6"/>
  <c r="C79" i="6"/>
  <c r="D79" i="6"/>
  <c r="B80" i="6"/>
  <c r="C80" i="6"/>
  <c r="D80" i="6"/>
  <c r="B81" i="6"/>
  <c r="C81" i="6"/>
  <c r="D81" i="6"/>
  <c r="B82" i="6"/>
  <c r="C82" i="6"/>
  <c r="D82" i="6"/>
  <c r="B83" i="6"/>
  <c r="C83" i="6"/>
  <c r="D83" i="6"/>
  <c r="B84" i="6"/>
  <c r="C84" i="6"/>
  <c r="D84" i="6"/>
  <c r="B85" i="6"/>
  <c r="C85" i="6"/>
  <c r="D85" i="6"/>
  <c r="B86" i="6"/>
  <c r="C86" i="6"/>
  <c r="D86" i="6"/>
  <c r="B87" i="6"/>
  <c r="C87" i="6"/>
  <c r="D87" i="6"/>
  <c r="B88" i="6"/>
  <c r="C88" i="6"/>
  <c r="D88" i="6"/>
  <c r="B89" i="6"/>
  <c r="C89" i="6"/>
  <c r="D89" i="6"/>
  <c r="B90" i="6"/>
  <c r="C90" i="6"/>
  <c r="D90" i="6"/>
  <c r="B91" i="6"/>
  <c r="C91" i="6"/>
  <c r="D91" i="6"/>
  <c r="B92" i="6"/>
  <c r="C92" i="6"/>
  <c r="D92" i="6"/>
  <c r="B93" i="6"/>
  <c r="C93" i="6"/>
  <c r="D93" i="6"/>
  <c r="B94" i="6"/>
  <c r="C94" i="6"/>
  <c r="D94" i="6"/>
  <c r="B95" i="6"/>
  <c r="C95" i="6"/>
  <c r="D95" i="6"/>
  <c r="B96" i="6"/>
  <c r="C96" i="6"/>
  <c r="D96" i="6"/>
  <c r="B97" i="6"/>
  <c r="C97" i="6"/>
  <c r="D97" i="6"/>
  <c r="B98" i="6"/>
  <c r="C98" i="6"/>
  <c r="D98" i="6"/>
  <c r="B99" i="6"/>
  <c r="C99" i="6"/>
  <c r="D99" i="6"/>
  <c r="B100" i="6"/>
  <c r="C100" i="6"/>
  <c r="D100" i="6"/>
  <c r="B101" i="6"/>
  <c r="C101" i="6"/>
  <c r="D101" i="6"/>
  <c r="B102" i="6"/>
  <c r="C102" i="6"/>
  <c r="D102" i="6"/>
  <c r="B103" i="6"/>
  <c r="C103" i="6"/>
  <c r="D103" i="6"/>
  <c r="B104" i="6"/>
  <c r="C104" i="6"/>
  <c r="D104" i="6"/>
  <c r="B105" i="6"/>
  <c r="C105" i="6"/>
  <c r="D105" i="6"/>
  <c r="B106" i="6"/>
  <c r="C106" i="6"/>
  <c r="D106" i="6"/>
  <c r="B107" i="6"/>
  <c r="C107" i="6"/>
  <c r="D107" i="6"/>
  <c r="B108" i="6"/>
  <c r="C108" i="6"/>
  <c r="D108" i="6"/>
  <c r="B109" i="6"/>
  <c r="C109" i="6"/>
  <c r="D109" i="6"/>
  <c r="B110" i="6"/>
  <c r="C110" i="6"/>
  <c r="D110" i="6"/>
  <c r="B111" i="6"/>
  <c r="C111" i="6"/>
  <c r="D111" i="6"/>
  <c r="B112" i="6"/>
  <c r="C112" i="6"/>
  <c r="D112" i="6"/>
  <c r="B113" i="6"/>
  <c r="C113" i="6"/>
  <c r="D113" i="6"/>
  <c r="B114" i="6"/>
  <c r="C114" i="6"/>
  <c r="D114" i="6"/>
  <c r="B115" i="6"/>
  <c r="C115" i="6"/>
  <c r="D115" i="6"/>
  <c r="B116" i="6"/>
  <c r="C116" i="6"/>
  <c r="D116" i="6"/>
  <c r="B117" i="6"/>
  <c r="C117" i="6"/>
  <c r="D117" i="6"/>
  <c r="B118" i="6"/>
  <c r="C118" i="6"/>
  <c r="D118" i="6"/>
  <c r="B119" i="6"/>
  <c r="C119" i="6"/>
  <c r="D119" i="6"/>
  <c r="B120" i="6"/>
  <c r="C120" i="6"/>
  <c r="D120" i="6"/>
  <c r="B121" i="6"/>
  <c r="C121" i="6"/>
  <c r="D121" i="6"/>
  <c r="B122" i="6"/>
  <c r="C122" i="6"/>
  <c r="D122" i="6"/>
  <c r="B123" i="6"/>
  <c r="C123" i="6"/>
  <c r="D123" i="6"/>
  <c r="B124" i="6"/>
  <c r="C124" i="6"/>
  <c r="D124" i="6"/>
  <c r="B125" i="6"/>
  <c r="C125" i="6"/>
  <c r="D125" i="6"/>
  <c r="B126" i="6"/>
  <c r="C126" i="6"/>
  <c r="D126" i="6"/>
  <c r="B127" i="6"/>
  <c r="C127" i="6"/>
  <c r="D127" i="6"/>
  <c r="B128" i="6"/>
  <c r="C128" i="6"/>
  <c r="D128" i="6"/>
  <c r="B129" i="6"/>
  <c r="C129" i="6"/>
  <c r="D129" i="6"/>
  <c r="B130" i="6"/>
  <c r="C130" i="6"/>
  <c r="D130" i="6"/>
  <c r="B131" i="6"/>
  <c r="C131" i="6"/>
  <c r="D131" i="6"/>
  <c r="B132" i="6"/>
  <c r="C132" i="6"/>
  <c r="D132" i="6"/>
  <c r="B133" i="6"/>
  <c r="C133" i="6"/>
  <c r="D133" i="6"/>
  <c r="B134" i="6"/>
  <c r="C134" i="6"/>
  <c r="D134" i="6"/>
  <c r="B135" i="6"/>
  <c r="C135" i="6"/>
  <c r="D135" i="6"/>
  <c r="B136" i="6"/>
  <c r="C136" i="6"/>
  <c r="D136" i="6"/>
  <c r="B137" i="6"/>
  <c r="C137" i="6"/>
  <c r="D137" i="6"/>
  <c r="B138" i="6"/>
  <c r="C138" i="6"/>
  <c r="D138" i="6"/>
  <c r="B139" i="6"/>
  <c r="C139" i="6"/>
  <c r="D139" i="6"/>
  <c r="B140" i="6"/>
  <c r="C140" i="6"/>
  <c r="D140" i="6"/>
  <c r="B141" i="6"/>
  <c r="C141" i="6"/>
  <c r="D141" i="6"/>
  <c r="B142" i="6"/>
  <c r="C142" i="6"/>
  <c r="D142" i="6"/>
  <c r="B143" i="6"/>
  <c r="C143" i="6"/>
  <c r="D143" i="6"/>
  <c r="B144" i="6"/>
  <c r="C144" i="6"/>
  <c r="D144" i="6"/>
  <c r="B145" i="6"/>
  <c r="C145" i="6"/>
  <c r="D145" i="6"/>
  <c r="B146" i="6"/>
  <c r="C146" i="6"/>
  <c r="D146" i="6"/>
  <c r="B147" i="6"/>
  <c r="C147" i="6"/>
  <c r="D147" i="6"/>
  <c r="B148" i="6"/>
  <c r="C148" i="6"/>
  <c r="D148" i="6"/>
  <c r="B149" i="6"/>
  <c r="C149" i="6"/>
  <c r="D149" i="6"/>
  <c r="B150" i="6"/>
  <c r="C150" i="6"/>
  <c r="D150" i="6"/>
  <c r="B151" i="6"/>
  <c r="C151" i="6"/>
  <c r="D151" i="6"/>
  <c r="B152" i="6"/>
  <c r="C152" i="6"/>
  <c r="D152" i="6"/>
  <c r="B153" i="6"/>
  <c r="C153" i="6"/>
  <c r="D153" i="6"/>
  <c r="B154" i="6"/>
  <c r="C154" i="6"/>
  <c r="D154" i="6"/>
  <c r="B155" i="6"/>
  <c r="C155" i="6"/>
  <c r="D155" i="6"/>
  <c r="B156" i="6"/>
  <c r="C156" i="6"/>
  <c r="D156" i="6"/>
  <c r="B157" i="6"/>
  <c r="C157" i="6"/>
  <c r="D157" i="6"/>
  <c r="B158" i="6"/>
  <c r="C158" i="6"/>
  <c r="D158" i="6"/>
  <c r="B159" i="6"/>
  <c r="C159" i="6"/>
  <c r="D159" i="6"/>
  <c r="B160" i="6"/>
  <c r="C160" i="6"/>
  <c r="D160" i="6"/>
  <c r="B161" i="6"/>
  <c r="C161" i="6"/>
  <c r="D161" i="6"/>
  <c r="B162" i="6"/>
  <c r="C162" i="6"/>
  <c r="D162" i="6"/>
  <c r="B163" i="6"/>
  <c r="C163" i="6"/>
  <c r="D163" i="6"/>
  <c r="B164" i="6"/>
  <c r="C164" i="6"/>
  <c r="D164" i="6"/>
  <c r="B165" i="6"/>
  <c r="C165" i="6"/>
  <c r="D165" i="6"/>
  <c r="B166" i="6"/>
  <c r="C166" i="6"/>
  <c r="D166" i="6"/>
  <c r="B167" i="6"/>
  <c r="C167" i="6"/>
  <c r="D167" i="6"/>
  <c r="B168" i="6"/>
  <c r="C168" i="6"/>
  <c r="D168" i="6"/>
  <c r="B169" i="6"/>
  <c r="C169" i="6"/>
  <c r="D169" i="6"/>
  <c r="B170" i="6"/>
  <c r="C170" i="6"/>
  <c r="D170" i="6"/>
  <c r="B171" i="6"/>
  <c r="C171" i="6"/>
  <c r="D171" i="6"/>
  <c r="B172" i="6"/>
  <c r="C172" i="6"/>
  <c r="D172" i="6"/>
  <c r="B173" i="6"/>
  <c r="C173" i="6"/>
  <c r="D173" i="6"/>
  <c r="B174" i="6"/>
  <c r="C174" i="6"/>
  <c r="D174" i="6"/>
  <c r="B175" i="6"/>
  <c r="C175" i="6"/>
  <c r="D175" i="6"/>
  <c r="B176" i="6"/>
  <c r="C176" i="6"/>
  <c r="D176" i="6"/>
  <c r="B177" i="6"/>
  <c r="C177" i="6"/>
  <c r="D177" i="6"/>
  <c r="B178" i="6"/>
  <c r="C178" i="6"/>
  <c r="D178" i="6"/>
  <c r="B179" i="6"/>
  <c r="C179" i="6"/>
  <c r="D179" i="6"/>
  <c r="B180" i="6"/>
  <c r="C180" i="6"/>
  <c r="D180" i="6"/>
  <c r="B181" i="6"/>
  <c r="C181" i="6"/>
  <c r="D181" i="6"/>
  <c r="B182" i="6"/>
  <c r="C182" i="6"/>
  <c r="D182" i="6"/>
  <c r="B183" i="6"/>
  <c r="C183" i="6"/>
  <c r="D183" i="6"/>
  <c r="B184" i="6"/>
  <c r="C184" i="6"/>
  <c r="D184" i="6"/>
  <c r="B185" i="6"/>
  <c r="C185" i="6"/>
  <c r="D185" i="6"/>
  <c r="B186" i="6"/>
  <c r="C186" i="6"/>
  <c r="D186" i="6"/>
  <c r="B187" i="6"/>
  <c r="C187" i="6"/>
  <c r="D187" i="6"/>
  <c r="B188" i="6"/>
  <c r="C188" i="6"/>
  <c r="D188" i="6"/>
  <c r="B189" i="6"/>
  <c r="C189" i="6"/>
  <c r="D189" i="6"/>
  <c r="B190" i="6"/>
  <c r="C190" i="6"/>
  <c r="D190" i="6"/>
  <c r="B191" i="6"/>
  <c r="C191" i="6"/>
  <c r="D191" i="6"/>
  <c r="B192" i="6"/>
  <c r="C192" i="6"/>
  <c r="D192" i="6"/>
  <c r="B193" i="6"/>
  <c r="C193" i="6"/>
  <c r="D193" i="6"/>
  <c r="B194" i="6"/>
  <c r="C194" i="6"/>
  <c r="D194" i="6"/>
  <c r="B195" i="6"/>
  <c r="C195" i="6"/>
  <c r="D195" i="6"/>
  <c r="B196" i="6"/>
  <c r="C196" i="6"/>
  <c r="D196" i="6"/>
  <c r="B197" i="6"/>
  <c r="C197" i="6"/>
  <c r="D197" i="6"/>
  <c r="B198" i="6"/>
  <c r="C198" i="6"/>
  <c r="D198" i="6"/>
  <c r="B199" i="6"/>
  <c r="C199" i="6"/>
  <c r="D199" i="6"/>
  <c r="B200" i="6"/>
  <c r="C200" i="6"/>
  <c r="D200" i="6"/>
  <c r="B201" i="6"/>
  <c r="C201" i="6"/>
  <c r="D201" i="6"/>
  <c r="B202" i="6"/>
  <c r="C202" i="6"/>
  <c r="D202" i="6"/>
  <c r="B203" i="6"/>
  <c r="C203" i="6"/>
  <c r="D203" i="6"/>
  <c r="B204" i="6"/>
  <c r="C204" i="6"/>
  <c r="D204" i="6"/>
  <c r="B205" i="6"/>
  <c r="C205" i="6"/>
  <c r="D205" i="6"/>
  <c r="B206" i="6"/>
  <c r="C206" i="6"/>
  <c r="D206" i="6"/>
  <c r="B207" i="6"/>
  <c r="C207" i="6"/>
  <c r="D207" i="6"/>
  <c r="B208" i="6"/>
  <c r="C208" i="6"/>
  <c r="D208" i="6"/>
  <c r="B209" i="6"/>
  <c r="C209" i="6"/>
  <c r="D209" i="6"/>
  <c r="B210" i="6"/>
  <c r="C210" i="6"/>
  <c r="D210" i="6"/>
  <c r="B211" i="6"/>
  <c r="C211" i="6"/>
  <c r="D211" i="6"/>
  <c r="B212" i="6"/>
  <c r="C212" i="6"/>
  <c r="D212" i="6"/>
  <c r="B213" i="6"/>
  <c r="C213" i="6"/>
  <c r="D213" i="6"/>
  <c r="B214" i="6"/>
  <c r="C214" i="6"/>
  <c r="D214" i="6"/>
  <c r="B215" i="6"/>
  <c r="C215" i="6"/>
  <c r="D215" i="6"/>
  <c r="B216" i="6"/>
  <c r="C216" i="6"/>
  <c r="D216" i="6"/>
  <c r="B217" i="6"/>
  <c r="C217" i="6"/>
  <c r="D217" i="6"/>
  <c r="B218" i="6"/>
  <c r="C218" i="6"/>
  <c r="D218" i="6"/>
  <c r="B219" i="6"/>
  <c r="C219" i="6"/>
  <c r="D219" i="6"/>
  <c r="B220" i="6"/>
  <c r="C220" i="6"/>
  <c r="D220" i="6"/>
  <c r="B221" i="6"/>
  <c r="C221" i="6"/>
  <c r="D221" i="6"/>
  <c r="B222" i="6"/>
  <c r="C222" i="6"/>
  <c r="D222" i="6"/>
  <c r="B223" i="6"/>
  <c r="C223" i="6"/>
  <c r="D223" i="6"/>
  <c r="B224" i="6"/>
  <c r="C224" i="6"/>
  <c r="D224" i="6"/>
  <c r="B225" i="6"/>
  <c r="C225" i="6"/>
  <c r="D225" i="6"/>
  <c r="B226" i="6"/>
  <c r="C226" i="6"/>
  <c r="D226" i="6"/>
  <c r="B227" i="6"/>
  <c r="C227" i="6"/>
  <c r="D227" i="6"/>
  <c r="B228" i="6"/>
  <c r="C228" i="6"/>
  <c r="D228" i="6"/>
  <c r="B229" i="6"/>
  <c r="C229" i="6"/>
  <c r="D229" i="6"/>
  <c r="B230" i="6"/>
  <c r="C230" i="6"/>
  <c r="D230" i="6"/>
  <c r="B231" i="6"/>
  <c r="C231" i="6"/>
  <c r="D231" i="6"/>
  <c r="B232" i="6"/>
  <c r="C232" i="6"/>
  <c r="D232" i="6"/>
  <c r="B233" i="6"/>
  <c r="C233" i="6"/>
  <c r="D233" i="6"/>
  <c r="B234" i="6"/>
  <c r="C234" i="6"/>
  <c r="D234" i="6"/>
  <c r="B235" i="6"/>
  <c r="C235" i="6"/>
  <c r="D235" i="6"/>
  <c r="B236" i="6"/>
  <c r="C236" i="6"/>
  <c r="D236" i="6"/>
  <c r="B237" i="6"/>
  <c r="C237" i="6"/>
  <c r="D237" i="6"/>
  <c r="B238" i="6"/>
  <c r="C238" i="6"/>
  <c r="D238" i="6"/>
  <c r="B239" i="6"/>
  <c r="C239" i="6"/>
  <c r="D239" i="6"/>
  <c r="B240" i="6"/>
  <c r="C240" i="6"/>
  <c r="D240" i="6"/>
  <c r="B241" i="6"/>
  <c r="C241" i="6"/>
  <c r="D241" i="6"/>
  <c r="B242" i="6"/>
  <c r="C242" i="6"/>
  <c r="D242" i="6"/>
  <c r="B243" i="6"/>
  <c r="C243" i="6"/>
  <c r="D243" i="6"/>
  <c r="B244" i="6"/>
  <c r="C244" i="6"/>
  <c r="D244" i="6"/>
  <c r="B245" i="6"/>
  <c r="C245" i="6"/>
  <c r="D245" i="6"/>
  <c r="B246" i="6"/>
  <c r="C246" i="6"/>
  <c r="D246" i="6"/>
  <c r="B247" i="6"/>
  <c r="C247" i="6"/>
  <c r="D247" i="6"/>
  <c r="B248" i="6"/>
  <c r="C248" i="6"/>
  <c r="D248" i="6"/>
  <c r="B249" i="6"/>
  <c r="C249" i="6"/>
  <c r="D249" i="6"/>
  <c r="B250" i="6"/>
  <c r="C250" i="6"/>
  <c r="D250" i="6"/>
  <c r="B251" i="6"/>
  <c r="C251" i="6"/>
  <c r="D251" i="6"/>
  <c r="B252" i="6"/>
  <c r="C252" i="6"/>
  <c r="D252" i="6"/>
  <c r="B253" i="6"/>
  <c r="C253" i="6"/>
  <c r="D253" i="6"/>
  <c r="B254" i="6"/>
  <c r="C254" i="6"/>
  <c r="D254" i="6"/>
  <c r="B255" i="6"/>
  <c r="C255" i="6"/>
  <c r="D255" i="6"/>
  <c r="B256" i="6"/>
  <c r="C256" i="6"/>
  <c r="D256" i="6"/>
  <c r="B257" i="6"/>
  <c r="C257" i="6"/>
  <c r="D257" i="6"/>
  <c r="B258" i="6"/>
  <c r="C258" i="6"/>
  <c r="D258" i="6"/>
  <c r="B259" i="6"/>
  <c r="C259" i="6"/>
  <c r="D259" i="6"/>
  <c r="B260" i="6"/>
  <c r="C260" i="6"/>
  <c r="D260" i="6"/>
  <c r="B261" i="6"/>
  <c r="C261" i="6"/>
  <c r="D261" i="6"/>
  <c r="B262" i="6"/>
  <c r="C262" i="6"/>
  <c r="D262" i="6"/>
  <c r="B263" i="6"/>
  <c r="C263" i="6"/>
  <c r="D263" i="6"/>
  <c r="B264" i="6"/>
  <c r="C264" i="6"/>
  <c r="D264" i="6"/>
  <c r="B265" i="6"/>
  <c r="C265" i="6"/>
  <c r="D265" i="6"/>
  <c r="B266" i="6"/>
  <c r="C266" i="6"/>
  <c r="D266" i="6"/>
  <c r="B267" i="6"/>
  <c r="C267" i="6"/>
  <c r="D267" i="6"/>
  <c r="B268" i="6"/>
  <c r="C268" i="6"/>
  <c r="D268" i="6"/>
  <c r="B269" i="6"/>
  <c r="C269" i="6"/>
  <c r="D269" i="6"/>
  <c r="B270" i="6"/>
  <c r="C270" i="6"/>
  <c r="D270" i="6"/>
  <c r="B271" i="6"/>
  <c r="C271" i="6"/>
  <c r="D271" i="6"/>
  <c r="B272" i="6"/>
  <c r="C272" i="6"/>
  <c r="D272" i="6"/>
  <c r="B273" i="6"/>
  <c r="C273" i="6"/>
  <c r="D273" i="6"/>
  <c r="B274" i="6"/>
  <c r="C274" i="6"/>
  <c r="D274" i="6"/>
  <c r="B275" i="6"/>
  <c r="C275" i="6"/>
  <c r="D275" i="6"/>
  <c r="B276" i="6"/>
  <c r="C276" i="6"/>
  <c r="D276" i="6"/>
  <c r="B277" i="6"/>
  <c r="C277" i="6"/>
  <c r="D277" i="6"/>
  <c r="B278" i="6"/>
  <c r="C278" i="6"/>
  <c r="D278" i="6"/>
  <c r="B279" i="6"/>
  <c r="C279" i="6"/>
  <c r="D279" i="6"/>
  <c r="B280" i="6"/>
  <c r="C280" i="6"/>
  <c r="D280" i="6"/>
  <c r="B281" i="6"/>
  <c r="C281" i="6"/>
  <c r="D281" i="6"/>
  <c r="B282" i="6"/>
  <c r="C282" i="6"/>
  <c r="D282" i="6"/>
  <c r="B283" i="6"/>
  <c r="C283" i="6"/>
  <c r="D283" i="6"/>
  <c r="B284" i="6"/>
  <c r="C284" i="6"/>
  <c r="D284" i="6"/>
  <c r="B285" i="6"/>
  <c r="C285" i="6"/>
  <c r="D285" i="6"/>
  <c r="B286" i="6"/>
  <c r="C286" i="6"/>
  <c r="D286" i="6"/>
  <c r="B287" i="6"/>
  <c r="C287" i="6"/>
  <c r="D287" i="6"/>
  <c r="B288" i="6"/>
  <c r="C288" i="6"/>
  <c r="D288" i="6"/>
  <c r="B289" i="6"/>
  <c r="C289" i="6"/>
  <c r="D289" i="6"/>
  <c r="B290" i="6"/>
  <c r="C290" i="6"/>
  <c r="D290" i="6"/>
  <c r="B291" i="6"/>
  <c r="C291" i="6"/>
  <c r="D291" i="6"/>
  <c r="B292" i="6"/>
  <c r="C292" i="6"/>
  <c r="D292" i="6"/>
  <c r="B293" i="6"/>
  <c r="C293" i="6"/>
  <c r="D293" i="6"/>
  <c r="B294" i="6"/>
  <c r="C294" i="6"/>
  <c r="D294" i="6"/>
  <c r="B295" i="6"/>
  <c r="C295" i="6"/>
  <c r="D295" i="6"/>
  <c r="B296" i="6"/>
  <c r="C296" i="6"/>
  <c r="D296" i="6"/>
  <c r="B297" i="6"/>
  <c r="C297" i="6"/>
  <c r="D297" i="6"/>
  <c r="B298" i="6"/>
  <c r="C298" i="6"/>
  <c r="D298" i="6"/>
  <c r="B299" i="6"/>
  <c r="C299" i="6"/>
  <c r="D299" i="6"/>
  <c r="B300" i="6"/>
  <c r="C300" i="6"/>
  <c r="D300" i="6"/>
  <c r="B301" i="6"/>
  <c r="C301" i="6"/>
  <c r="D301" i="6"/>
  <c r="B302" i="6"/>
  <c r="C302" i="6"/>
  <c r="D302" i="6"/>
  <c r="B44" i="6"/>
  <c r="C44" i="6"/>
  <c r="D44" i="6"/>
  <c r="B45" i="6"/>
  <c r="C45" i="6"/>
  <c r="D45" i="6"/>
  <c r="B46" i="6"/>
  <c r="C46" i="6"/>
  <c r="D46" i="6"/>
  <c r="B47" i="6"/>
  <c r="C47" i="6"/>
  <c r="D47" i="6"/>
  <c r="B48" i="6"/>
  <c r="C48" i="6"/>
  <c r="D48" i="6"/>
  <c r="B49" i="6"/>
  <c r="C49" i="6"/>
  <c r="D49" i="6"/>
  <c r="B50" i="6"/>
  <c r="C50" i="6"/>
  <c r="D50" i="6"/>
  <c r="B51" i="6"/>
  <c r="C51" i="6"/>
  <c r="D51" i="6"/>
  <c r="B52" i="6"/>
  <c r="C52" i="6"/>
  <c r="D52" i="6"/>
  <c r="B53" i="6"/>
  <c r="C53" i="6"/>
  <c r="D53" i="6"/>
  <c r="B54" i="6"/>
  <c r="C54" i="6"/>
  <c r="D54" i="6"/>
  <c r="B55" i="6"/>
  <c r="C55" i="6"/>
  <c r="D55" i="6"/>
  <c r="B56" i="6"/>
  <c r="C56" i="6"/>
  <c r="D56" i="6"/>
  <c r="B57" i="6"/>
  <c r="C57" i="6"/>
  <c r="D57" i="6"/>
  <c r="B58" i="6"/>
  <c r="C58" i="6"/>
  <c r="D58" i="6"/>
  <c r="B59" i="6"/>
  <c r="C59" i="6"/>
  <c r="D59" i="6"/>
  <c r="B60" i="6"/>
  <c r="C60" i="6"/>
  <c r="D60" i="6"/>
  <c r="B61" i="6"/>
  <c r="C61" i="6"/>
  <c r="D61" i="6"/>
  <c r="B62" i="6"/>
  <c r="C62" i="6"/>
  <c r="D62" i="6"/>
  <c r="B63" i="6"/>
  <c r="C63" i="6"/>
  <c r="D63" i="6"/>
  <c r="B64" i="6"/>
  <c r="C64" i="6"/>
  <c r="D64" i="6"/>
  <c r="B65" i="6"/>
  <c r="C65" i="6"/>
  <c r="D65" i="6"/>
  <c r="B66" i="6"/>
  <c r="C66" i="6"/>
  <c r="D66" i="6"/>
  <c r="B67" i="6"/>
  <c r="C67" i="6"/>
  <c r="D67" i="6"/>
  <c r="B68" i="6"/>
  <c r="C68" i="6"/>
  <c r="D68" i="6"/>
  <c r="B69" i="6"/>
  <c r="C69" i="6"/>
  <c r="D69" i="6"/>
  <c r="E303" i="6" l="1"/>
  <c r="E319" i="6"/>
  <c r="E329" i="6"/>
  <c r="E305" i="6"/>
  <c r="E413" i="6"/>
  <c r="E370" i="6"/>
  <c r="E333" i="6"/>
  <c r="E309" i="6"/>
  <c r="E446" i="6"/>
  <c r="E327" i="6"/>
  <c r="E496" i="6"/>
  <c r="E488" i="6"/>
  <c r="E480" i="6"/>
  <c r="E464" i="6"/>
  <c r="E406" i="6"/>
  <c r="E499" i="6"/>
  <c r="E491" i="6"/>
  <c r="E483" i="6"/>
  <c r="E422" i="6"/>
  <c r="E358" i="6"/>
  <c r="E386" i="6"/>
  <c r="E354" i="6"/>
  <c r="E351" i="6"/>
  <c r="E343" i="6"/>
  <c r="E384" i="6"/>
  <c r="E362" i="6"/>
  <c r="E330" i="6"/>
  <c r="E322" i="6"/>
  <c r="E314" i="6"/>
  <c r="E306" i="6"/>
  <c r="E462" i="6"/>
  <c r="E454" i="6"/>
  <c r="E371" i="6"/>
  <c r="E360" i="6"/>
  <c r="E352" i="6"/>
  <c r="E497" i="6"/>
  <c r="E489" i="6"/>
  <c r="E473" i="6"/>
  <c r="E465" i="6"/>
  <c r="E390" i="6"/>
  <c r="E382" i="6"/>
  <c r="E374" i="6"/>
  <c r="E315" i="6"/>
  <c r="E401" i="6"/>
  <c r="E318" i="6"/>
  <c r="E310" i="6"/>
  <c r="E455" i="6"/>
  <c r="E369" i="6"/>
  <c r="E482" i="6"/>
  <c r="E474" i="6"/>
  <c r="E466" i="6"/>
  <c r="E442" i="6"/>
  <c r="E434" i="6"/>
  <c r="E426" i="6"/>
  <c r="E445" i="6"/>
  <c r="E410" i="6"/>
  <c r="E402" i="6"/>
  <c r="E394" i="6"/>
  <c r="E361" i="6"/>
  <c r="E353" i="6"/>
  <c r="E328" i="6"/>
  <c r="E492" i="6"/>
  <c r="E487" i="6"/>
  <c r="E476" i="6"/>
  <c r="E457" i="6"/>
  <c r="E438" i="6"/>
  <c r="E405" i="6"/>
  <c r="E397" i="6"/>
  <c r="E392" i="6"/>
  <c r="E375" i="6"/>
  <c r="E345" i="6"/>
  <c r="E337" i="6"/>
  <c r="E495" i="6"/>
  <c r="E460" i="6"/>
  <c r="E452" i="6"/>
  <c r="E441" i="6"/>
  <c r="E430" i="6"/>
  <c r="E378" i="6"/>
  <c r="E433" i="6"/>
  <c r="E414" i="6"/>
  <c r="E321" i="6"/>
  <c r="E313" i="6"/>
  <c r="E485" i="6"/>
  <c r="E477" i="6"/>
  <c r="E469" i="6"/>
  <c r="E450" i="6"/>
  <c r="E417" i="6"/>
  <c r="E412" i="6"/>
  <c r="E398" i="6"/>
  <c r="E387" i="6"/>
  <c r="E368" i="6"/>
  <c r="E346" i="6"/>
  <c r="E338" i="6"/>
  <c r="E481" i="6"/>
  <c r="E336" i="6"/>
  <c r="E470" i="6"/>
  <c r="E451" i="6"/>
  <c r="E432" i="6"/>
  <c r="E429" i="6"/>
  <c r="E418" i="6"/>
  <c r="E385" i="6"/>
  <c r="E377" i="6"/>
  <c r="E366" i="6"/>
  <c r="E350" i="6"/>
  <c r="E325" i="6"/>
  <c r="E458" i="6"/>
  <c r="E408" i="6"/>
  <c r="E388" i="6"/>
  <c r="E381" i="6"/>
  <c r="E365" i="6"/>
  <c r="E316" i="6"/>
  <c r="E307" i="6"/>
  <c r="E478" i="6"/>
  <c r="E436" i="6"/>
  <c r="E424" i="6"/>
  <c r="E372" i="6"/>
  <c r="E359" i="6"/>
  <c r="E341" i="6"/>
  <c r="E332" i="6"/>
  <c r="E323" i="6"/>
  <c r="E304" i="6"/>
  <c r="E500" i="6"/>
  <c r="E490" i="6"/>
  <c r="E471" i="6"/>
  <c r="E440" i="6"/>
  <c r="E421" i="6"/>
  <c r="E409" i="6"/>
  <c r="E389" i="6"/>
  <c r="E379" i="6"/>
  <c r="E376" i="6"/>
  <c r="E363" i="6"/>
  <c r="E344" i="6"/>
  <c r="E335" i="6"/>
  <c r="E326" i="6"/>
  <c r="E317" i="6"/>
  <c r="E308" i="6"/>
  <c r="E493" i="6"/>
  <c r="E484" i="6"/>
  <c r="E475" i="6"/>
  <c r="E472" i="6"/>
  <c r="E456" i="6"/>
  <c r="E449" i="6"/>
  <c r="E428" i="6"/>
  <c r="E416" i="6"/>
  <c r="E396" i="6"/>
  <c r="E373" i="6"/>
  <c r="E357" i="6"/>
  <c r="E348" i="6"/>
  <c r="E342" i="6"/>
  <c r="E339" i="6"/>
  <c r="E320" i="6"/>
  <c r="E311" i="6"/>
  <c r="E498" i="6"/>
  <c r="E494" i="6"/>
  <c r="E479" i="6"/>
  <c r="E437" i="6"/>
  <c r="E425" i="6"/>
  <c r="E400" i="6"/>
  <c r="E393" i="6"/>
  <c r="E383" i="6"/>
  <c r="E380" i="6"/>
  <c r="E367" i="6"/>
  <c r="E364" i="6"/>
  <c r="E324" i="6"/>
  <c r="E468" i="6"/>
  <c r="E444" i="6"/>
  <c r="E404" i="6"/>
  <c r="E486" i="6"/>
  <c r="E420" i="6"/>
  <c r="E349" i="6"/>
  <c r="E340" i="6"/>
  <c r="E334" i="6"/>
  <c r="E331" i="6"/>
  <c r="E312" i="6"/>
  <c r="E347" i="6"/>
  <c r="E448" i="6"/>
  <c r="E355" i="6"/>
  <c r="E459" i="6"/>
  <c r="E461" i="6"/>
  <c r="E447" i="6"/>
  <c r="E443" i="6"/>
  <c r="E439" i="6"/>
  <c r="E435" i="6"/>
  <c r="E431" i="6"/>
  <c r="E427" i="6"/>
  <c r="E423" i="6"/>
  <c r="E419" i="6"/>
  <c r="E415" i="6"/>
  <c r="E411" i="6"/>
  <c r="E407" i="6"/>
  <c r="E403" i="6"/>
  <c r="E399" i="6"/>
  <c r="E395" i="6"/>
  <c r="E391" i="6"/>
  <c r="E356" i="6"/>
  <c r="E467" i="6"/>
  <c r="E463" i="6"/>
  <c r="E453" i="6"/>
  <c r="E112" i="6"/>
  <c r="E96" i="6"/>
  <c r="E88" i="6"/>
  <c r="E80" i="6"/>
  <c r="E72" i="6"/>
  <c r="E92" i="6"/>
  <c r="E76" i="6"/>
  <c r="E152" i="6"/>
  <c r="E99" i="6"/>
  <c r="E70" i="6"/>
  <c r="E97" i="6"/>
  <c r="E271" i="6"/>
  <c r="E255" i="6"/>
  <c r="E242" i="6"/>
  <c r="E111" i="6"/>
  <c r="E108" i="6"/>
  <c r="E89" i="6"/>
  <c r="E283" i="6"/>
  <c r="E275" i="6"/>
  <c r="E232" i="6"/>
  <c r="E182" i="6"/>
  <c r="E176" i="6"/>
  <c r="E243" i="6"/>
  <c r="E144" i="6"/>
  <c r="E136" i="6"/>
  <c r="E252" i="6"/>
  <c r="E174" i="6"/>
  <c r="E166" i="6"/>
  <c r="E158" i="6"/>
  <c r="E113" i="6"/>
  <c r="E239" i="6"/>
  <c r="E295" i="6"/>
  <c r="E287" i="6"/>
  <c r="E233" i="6"/>
  <c r="E198" i="6"/>
  <c r="E60" i="6"/>
  <c r="E224" i="6"/>
  <c r="E200" i="6"/>
  <c r="E211" i="6"/>
  <c r="E293" i="6"/>
  <c r="E266" i="6"/>
  <c r="E230" i="6"/>
  <c r="E206" i="6"/>
  <c r="E125" i="6"/>
  <c r="E117" i="6"/>
  <c r="E59" i="6"/>
  <c r="E300" i="6"/>
  <c r="E267" i="6"/>
  <c r="E237" i="6"/>
  <c r="E199" i="6"/>
  <c r="E169" i="6"/>
  <c r="E150" i="6"/>
  <c r="E268" i="6"/>
  <c r="E260" i="6"/>
  <c r="E238" i="6"/>
  <c r="E132" i="6"/>
  <c r="E121" i="6"/>
  <c r="E86" i="6"/>
  <c r="E214" i="6"/>
  <c r="E184" i="6"/>
  <c r="E129" i="6"/>
  <c r="E104" i="6"/>
  <c r="E81" i="6"/>
  <c r="E73" i="6"/>
  <c r="E285" i="6"/>
  <c r="E251" i="6"/>
  <c r="E145" i="6"/>
  <c r="E265" i="6"/>
  <c r="E254" i="6"/>
  <c r="E220" i="6"/>
  <c r="E201" i="6"/>
  <c r="E190" i="6"/>
  <c r="E168" i="6"/>
  <c r="E148" i="6"/>
  <c r="E124" i="6"/>
  <c r="E291" i="6"/>
  <c r="E247" i="6"/>
  <c r="E241" i="6"/>
  <c r="E210" i="6"/>
  <c r="E160" i="6"/>
  <c r="E105" i="6"/>
  <c r="E74" i="6"/>
  <c r="E248" i="6"/>
  <c r="E279" i="6"/>
  <c r="E292" i="6"/>
  <c r="E263" i="6"/>
  <c r="E229" i="6"/>
  <c r="E216" i="6"/>
  <c r="E196" i="6"/>
  <c r="E177" i="6"/>
  <c r="E163" i="6"/>
  <c r="E77" i="6"/>
  <c r="E284" i="6"/>
  <c r="E164" i="6"/>
  <c r="E128" i="6"/>
  <c r="E259" i="6"/>
  <c r="E253" i="6"/>
  <c r="E222" i="6"/>
  <c r="E219" i="6"/>
  <c r="E120" i="6"/>
  <c r="E83" i="6"/>
  <c r="E101" i="6"/>
  <c r="E90" i="6"/>
  <c r="E63" i="6"/>
  <c r="E298" i="6"/>
  <c r="E185" i="6"/>
  <c r="E134" i="6"/>
  <c r="E296" i="6"/>
  <c r="E289" i="6"/>
  <c r="E277" i="6"/>
  <c r="E258" i="6"/>
  <c r="E246" i="6"/>
  <c r="E244" i="6"/>
  <c r="E227" i="6"/>
  <c r="E215" i="6"/>
  <c r="E212" i="6"/>
  <c r="E192" i="6"/>
  <c r="E186" i="6"/>
  <c r="E180" i="6"/>
  <c r="E167" i="6"/>
  <c r="E155" i="6"/>
  <c r="E141" i="6"/>
  <c r="E118" i="6"/>
  <c r="E109" i="6"/>
  <c r="E84" i="6"/>
  <c r="E75" i="6"/>
  <c r="E71" i="6"/>
  <c r="E100" i="6"/>
  <c r="E91" i="6"/>
  <c r="E87" i="6"/>
  <c r="E78" i="6"/>
  <c r="E47" i="6"/>
  <c r="E288" i="6"/>
  <c r="E194" i="6"/>
  <c r="E297" i="6"/>
  <c r="E262" i="6"/>
  <c r="E231" i="6"/>
  <c r="E207" i="6"/>
  <c r="E165" i="6"/>
  <c r="E153" i="6"/>
  <c r="E135" i="6"/>
  <c r="E116" i="6"/>
  <c r="E107" i="6"/>
  <c r="E103" i="6"/>
  <c r="E94" i="6"/>
  <c r="E82" i="6"/>
  <c r="E55" i="6"/>
  <c r="E273" i="6"/>
  <c r="E236" i="6"/>
  <c r="E218" i="6"/>
  <c r="E203" i="6"/>
  <c r="E172" i="6"/>
  <c r="E143" i="6"/>
  <c r="E61" i="6"/>
  <c r="E64" i="6"/>
  <c r="E280" i="6"/>
  <c r="E274" i="6"/>
  <c r="E225" i="6"/>
  <c r="E195" i="6"/>
  <c r="E183" i="6"/>
  <c r="E162" i="6"/>
  <c r="E46" i="6"/>
  <c r="E294" i="6"/>
  <c r="E281" i="6"/>
  <c r="E269" i="6"/>
  <c r="E250" i="6"/>
  <c r="E235" i="6"/>
  <c r="E228" i="6"/>
  <c r="E208" i="6"/>
  <c r="E202" i="6"/>
  <c r="E178" i="6"/>
  <c r="E171" i="6"/>
  <c r="E156" i="6"/>
  <c r="E142" i="6"/>
  <c r="E139" i="6"/>
  <c r="E137" i="6"/>
  <c r="E119" i="6"/>
  <c r="E110" i="6"/>
  <c r="E98" i="6"/>
  <c r="E85" i="6"/>
  <c r="E301" i="6"/>
  <c r="E140" i="6"/>
  <c r="E50" i="6"/>
  <c r="E270" i="6"/>
  <c r="E299" i="6"/>
  <c r="E286" i="6"/>
  <c r="E302" i="6"/>
  <c r="E256" i="6"/>
  <c r="E204" i="6"/>
  <c r="E49" i="6"/>
  <c r="E290" i="6"/>
  <c r="E278" i="6"/>
  <c r="E276" i="6"/>
  <c r="E272" i="6"/>
  <c r="E257" i="6"/>
  <c r="E245" i="6"/>
  <c r="E226" i="6"/>
  <c r="E217" i="6"/>
  <c r="E193" i="6"/>
  <c r="E187" i="6"/>
  <c r="E147" i="6"/>
  <c r="E126" i="6"/>
  <c r="E79" i="6"/>
  <c r="E95" i="6"/>
  <c r="E261" i="6"/>
  <c r="E175" i="6"/>
  <c r="E66" i="6"/>
  <c r="E282" i="6"/>
  <c r="E264" i="6"/>
  <c r="E249" i="6"/>
  <c r="E240" i="6"/>
  <c r="E234" i="6"/>
  <c r="E209" i="6"/>
  <c r="E191" i="6"/>
  <c r="E188" i="6"/>
  <c r="E179" i="6"/>
  <c r="E161" i="6"/>
  <c r="E131" i="6"/>
  <c r="E127" i="6"/>
  <c r="E106" i="6"/>
  <c r="E102" i="6"/>
  <c r="E93" i="6"/>
  <c r="E44" i="6"/>
  <c r="E154" i="6"/>
  <c r="E146" i="6"/>
  <c r="E189" i="6"/>
  <c r="E173" i="6"/>
  <c r="E170" i="6"/>
  <c r="E157" i="6"/>
  <c r="E149" i="6"/>
  <c r="E114" i="6"/>
  <c r="E221" i="6"/>
  <c r="E205" i="6"/>
  <c r="E223" i="6"/>
  <c r="E138" i="6"/>
  <c r="E133" i="6"/>
  <c r="E122" i="6"/>
  <c r="E159" i="6"/>
  <c r="E151" i="6"/>
  <c r="E115" i="6"/>
  <c r="E181" i="6"/>
  <c r="E213" i="6"/>
  <c r="E197" i="6"/>
  <c r="E130" i="6"/>
  <c r="E123" i="6"/>
  <c r="E53" i="6"/>
  <c r="E51" i="6"/>
  <c r="E48" i="6"/>
  <c r="E45" i="6"/>
  <c r="E56" i="6"/>
  <c r="E65" i="6"/>
  <c r="E62" i="6"/>
  <c r="E68" i="6"/>
  <c r="E57" i="6"/>
  <c r="E54" i="6"/>
  <c r="E52" i="6"/>
  <c r="E69" i="6"/>
  <c r="E67" i="6"/>
  <c r="E58" i="6"/>
  <c r="C3" i="6"/>
  <c r="D3" i="6"/>
  <c r="C4" i="6"/>
  <c r="D4" i="6"/>
  <c r="C5" i="6"/>
  <c r="D5" i="6"/>
  <c r="C6" i="6"/>
  <c r="D6" i="6"/>
  <c r="C7" i="6"/>
  <c r="D7" i="6"/>
  <c r="C8" i="6"/>
  <c r="D8" i="6"/>
  <c r="C9" i="6"/>
  <c r="D9" i="6"/>
  <c r="C10" i="6"/>
  <c r="D10" i="6"/>
  <c r="C11" i="6"/>
  <c r="D11" i="6"/>
  <c r="C12" i="6"/>
  <c r="D12" i="6"/>
  <c r="C13" i="6"/>
  <c r="D13" i="6"/>
  <c r="C14" i="6"/>
  <c r="D14" i="6"/>
  <c r="C15" i="6"/>
  <c r="D15" i="6"/>
  <c r="C16" i="6"/>
  <c r="D16" i="6"/>
  <c r="C17" i="6"/>
  <c r="D17" i="6"/>
  <c r="C18" i="6"/>
  <c r="D18" i="6"/>
  <c r="C19" i="6"/>
  <c r="D19" i="6"/>
  <c r="C20" i="6"/>
  <c r="D20" i="6"/>
  <c r="C21" i="6"/>
  <c r="D21" i="6"/>
  <c r="C22" i="6"/>
  <c r="D22" i="6"/>
  <c r="C23" i="6"/>
  <c r="D23" i="6"/>
  <c r="C24" i="6"/>
  <c r="D24" i="6"/>
  <c r="C25" i="6"/>
  <c r="D25" i="6"/>
  <c r="C26" i="6"/>
  <c r="D26" i="6"/>
  <c r="C27" i="6"/>
  <c r="D27" i="6"/>
  <c r="C28" i="6"/>
  <c r="D28" i="6"/>
  <c r="C29" i="6"/>
  <c r="D29" i="6"/>
  <c r="C30" i="6"/>
  <c r="D30" i="6"/>
  <c r="C31" i="6"/>
  <c r="D31" i="6"/>
  <c r="C32" i="6"/>
  <c r="D32" i="6"/>
  <c r="C33" i="6"/>
  <c r="D33" i="6"/>
  <c r="C34" i="6"/>
  <c r="D34" i="6"/>
  <c r="C35" i="6"/>
  <c r="D35" i="6"/>
  <c r="C36" i="6"/>
  <c r="D36" i="6"/>
  <c r="C37" i="6"/>
  <c r="D37" i="6"/>
  <c r="C38" i="6"/>
  <c r="D38" i="6"/>
  <c r="C39" i="6"/>
  <c r="D39" i="6"/>
  <c r="C40" i="6"/>
  <c r="D40" i="6"/>
  <c r="C41" i="6"/>
  <c r="D41" i="6"/>
  <c r="C42" i="6"/>
  <c r="D42" i="6"/>
  <c r="C43" i="6"/>
  <c r="D43" i="6"/>
  <c r="C2" i="6"/>
  <c r="D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2" i="6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2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G54" i="6" l="1"/>
  <c r="F54" i="6"/>
  <c r="G130" i="6"/>
  <c r="F130" i="6"/>
  <c r="G122" i="6"/>
  <c r="F122" i="6"/>
  <c r="G157" i="6"/>
  <c r="F157" i="6"/>
  <c r="G102" i="6"/>
  <c r="F102" i="6"/>
  <c r="G209" i="6"/>
  <c r="F209" i="6"/>
  <c r="G261" i="6"/>
  <c r="F261" i="6"/>
  <c r="G226" i="6"/>
  <c r="F226" i="6"/>
  <c r="F204" i="6"/>
  <c r="G204" i="6"/>
  <c r="G301" i="6"/>
  <c r="F301" i="6"/>
  <c r="F156" i="6"/>
  <c r="G156" i="6"/>
  <c r="G269" i="6"/>
  <c r="F269" i="6"/>
  <c r="G274" i="6"/>
  <c r="F274" i="6"/>
  <c r="G236" i="6"/>
  <c r="F236" i="6"/>
  <c r="G135" i="6"/>
  <c r="F135" i="6"/>
  <c r="G288" i="6"/>
  <c r="F288" i="6"/>
  <c r="G84" i="6"/>
  <c r="F84" i="6"/>
  <c r="G244" i="6"/>
  <c r="F244" i="6"/>
  <c r="G298" i="6"/>
  <c r="F298" i="6"/>
  <c r="G253" i="6"/>
  <c r="F253" i="6"/>
  <c r="F284" i="6"/>
  <c r="G284" i="6"/>
  <c r="G292" i="6"/>
  <c r="F292" i="6"/>
  <c r="G168" i="6"/>
  <c r="F168" i="6"/>
  <c r="G254" i="6"/>
  <c r="F254" i="6"/>
  <c r="G129" i="6"/>
  <c r="F129" i="6"/>
  <c r="F268" i="6"/>
  <c r="G268" i="6"/>
  <c r="F117" i="6"/>
  <c r="G117" i="6"/>
  <c r="G224" i="6"/>
  <c r="F224" i="6"/>
  <c r="G158" i="6"/>
  <c r="F158" i="6"/>
  <c r="G89" i="6"/>
  <c r="F89" i="6"/>
  <c r="G99" i="6"/>
  <c r="F99" i="6"/>
  <c r="G112" i="6"/>
  <c r="F112" i="6"/>
  <c r="G407" i="6"/>
  <c r="F407" i="6"/>
  <c r="G340" i="6"/>
  <c r="F340" i="6"/>
  <c r="G364" i="6"/>
  <c r="F364" i="6"/>
  <c r="G437" i="6"/>
  <c r="F437" i="6"/>
  <c r="G348" i="6"/>
  <c r="F348" i="6"/>
  <c r="G472" i="6"/>
  <c r="F472" i="6"/>
  <c r="G308" i="6"/>
  <c r="F308" i="6"/>
  <c r="G389" i="6"/>
  <c r="F389" i="6"/>
  <c r="G323" i="6"/>
  <c r="F323" i="6"/>
  <c r="G307" i="6"/>
  <c r="F307" i="6"/>
  <c r="G350" i="6"/>
  <c r="F350" i="6"/>
  <c r="G470" i="6"/>
  <c r="F470" i="6"/>
  <c r="G412" i="6"/>
  <c r="F412" i="6"/>
  <c r="G414" i="6"/>
  <c r="F414" i="6"/>
  <c r="G397" i="6"/>
  <c r="F397" i="6"/>
  <c r="G353" i="6"/>
  <c r="F353" i="6"/>
  <c r="G410" i="6"/>
  <c r="F410" i="6"/>
  <c r="G369" i="6"/>
  <c r="F369" i="6"/>
  <c r="G401" i="6"/>
  <c r="F401" i="6"/>
  <c r="G390" i="6"/>
  <c r="F390" i="6"/>
  <c r="G497" i="6"/>
  <c r="F497" i="6"/>
  <c r="G454" i="6"/>
  <c r="F454" i="6"/>
  <c r="G322" i="6"/>
  <c r="F322" i="6"/>
  <c r="G343" i="6"/>
  <c r="F343" i="6"/>
  <c r="G358" i="6"/>
  <c r="F358" i="6"/>
  <c r="G499" i="6"/>
  <c r="F499" i="6"/>
  <c r="G488" i="6"/>
  <c r="F488" i="6"/>
  <c r="G305" i="6"/>
  <c r="F305" i="6"/>
  <c r="G67" i="6"/>
  <c r="F67" i="6"/>
  <c r="G57" i="6"/>
  <c r="F57" i="6"/>
  <c r="G56" i="6"/>
  <c r="F56" i="6"/>
  <c r="G53" i="6"/>
  <c r="F53" i="6"/>
  <c r="G197" i="6"/>
  <c r="F197" i="6"/>
  <c r="G151" i="6"/>
  <c r="F151" i="6"/>
  <c r="G133" i="6"/>
  <c r="F133" i="6"/>
  <c r="G221" i="6"/>
  <c r="F221" i="6"/>
  <c r="G170" i="6"/>
  <c r="F170" i="6"/>
  <c r="G154" i="6"/>
  <c r="F154" i="6"/>
  <c r="G106" i="6"/>
  <c r="F106" i="6"/>
  <c r="G179" i="6"/>
  <c r="F179" i="6"/>
  <c r="G234" i="6"/>
  <c r="F234" i="6"/>
  <c r="G282" i="6"/>
  <c r="F282" i="6"/>
  <c r="G95" i="6"/>
  <c r="F95" i="6"/>
  <c r="G187" i="6"/>
  <c r="F187" i="6"/>
  <c r="G245" i="6"/>
  <c r="F245" i="6"/>
  <c r="G278" i="6"/>
  <c r="F278" i="6"/>
  <c r="G256" i="6"/>
  <c r="F256" i="6"/>
  <c r="G270" i="6"/>
  <c r="F270" i="6"/>
  <c r="F85" i="6"/>
  <c r="G85" i="6"/>
  <c r="G137" i="6"/>
  <c r="F137" i="6"/>
  <c r="G171" i="6"/>
  <c r="F171" i="6"/>
  <c r="G228" i="6"/>
  <c r="F228" i="6"/>
  <c r="G281" i="6"/>
  <c r="F281" i="6"/>
  <c r="G183" i="6"/>
  <c r="F183" i="6"/>
  <c r="G280" i="6"/>
  <c r="F280" i="6"/>
  <c r="F172" i="6"/>
  <c r="G172" i="6"/>
  <c r="G273" i="6"/>
  <c r="F273" i="6"/>
  <c r="G103" i="6"/>
  <c r="F103" i="6"/>
  <c r="G153" i="6"/>
  <c r="F153" i="6"/>
  <c r="G262" i="6"/>
  <c r="F262" i="6"/>
  <c r="G47" i="6"/>
  <c r="F47" i="6"/>
  <c r="G100" i="6"/>
  <c r="F100" i="6"/>
  <c r="F109" i="6"/>
  <c r="G109" i="6"/>
  <c r="G167" i="6"/>
  <c r="F167" i="6"/>
  <c r="G212" i="6"/>
  <c r="F212" i="6"/>
  <c r="G246" i="6"/>
  <c r="F246" i="6"/>
  <c r="G296" i="6"/>
  <c r="F296" i="6"/>
  <c r="G63" i="6"/>
  <c r="F63" i="6"/>
  <c r="F120" i="6"/>
  <c r="G120" i="6"/>
  <c r="G259" i="6"/>
  <c r="F259" i="6"/>
  <c r="F77" i="6"/>
  <c r="G77" i="6"/>
  <c r="G216" i="6"/>
  <c r="F216" i="6"/>
  <c r="G279" i="6"/>
  <c r="F279" i="6"/>
  <c r="G160" i="6"/>
  <c r="F160" i="6"/>
  <c r="G291" i="6"/>
  <c r="F291" i="6"/>
  <c r="G190" i="6"/>
  <c r="F190" i="6"/>
  <c r="G265" i="6"/>
  <c r="F265" i="6"/>
  <c r="G73" i="6"/>
  <c r="F73" i="6"/>
  <c r="G184" i="6"/>
  <c r="F184" i="6"/>
  <c r="G132" i="6"/>
  <c r="F132" i="6"/>
  <c r="F150" i="6"/>
  <c r="G150" i="6"/>
  <c r="G267" i="6"/>
  <c r="F267" i="6"/>
  <c r="G125" i="6"/>
  <c r="F125" i="6"/>
  <c r="G293" i="6"/>
  <c r="F293" i="6"/>
  <c r="G60" i="6"/>
  <c r="F60" i="6"/>
  <c r="G295" i="6"/>
  <c r="F295" i="6"/>
  <c r="G166" i="6"/>
  <c r="F166" i="6"/>
  <c r="G144" i="6"/>
  <c r="F144" i="6"/>
  <c r="G232" i="6"/>
  <c r="F232" i="6"/>
  <c r="G108" i="6"/>
  <c r="F108" i="6"/>
  <c r="G271" i="6"/>
  <c r="F271" i="6"/>
  <c r="G152" i="6"/>
  <c r="F152" i="6"/>
  <c r="G80" i="6"/>
  <c r="F80" i="6"/>
  <c r="G463" i="6"/>
  <c r="F463" i="6"/>
  <c r="G356" i="6"/>
  <c r="F356" i="6"/>
  <c r="G395" i="6"/>
  <c r="F395" i="6"/>
  <c r="G411" i="6"/>
  <c r="F411" i="6"/>
  <c r="G427" i="6"/>
  <c r="F427" i="6"/>
  <c r="G443" i="6"/>
  <c r="F443" i="6"/>
  <c r="G459" i="6"/>
  <c r="F459" i="6"/>
  <c r="G312" i="6"/>
  <c r="F312" i="6"/>
  <c r="G349" i="6"/>
  <c r="F349" i="6"/>
  <c r="G444" i="6"/>
  <c r="F444" i="6"/>
  <c r="G367" i="6"/>
  <c r="F367" i="6"/>
  <c r="G393" i="6"/>
  <c r="F393" i="6"/>
  <c r="G479" i="6"/>
  <c r="F479" i="6"/>
  <c r="G320" i="6"/>
  <c r="F320" i="6"/>
  <c r="G357" i="6"/>
  <c r="F357" i="6"/>
  <c r="G428" i="6"/>
  <c r="F428" i="6"/>
  <c r="G475" i="6"/>
  <c r="F475" i="6"/>
  <c r="G317" i="6"/>
  <c r="F317" i="6"/>
  <c r="G363" i="6"/>
  <c r="F363" i="6"/>
  <c r="G409" i="6"/>
  <c r="F409" i="6"/>
  <c r="G490" i="6"/>
  <c r="F490" i="6"/>
  <c r="F332" i="6"/>
  <c r="G332" i="6"/>
  <c r="G424" i="6"/>
  <c r="F424" i="6"/>
  <c r="G316" i="6"/>
  <c r="F316" i="6"/>
  <c r="G408" i="6"/>
  <c r="F408" i="6"/>
  <c r="G366" i="6"/>
  <c r="F366" i="6"/>
  <c r="G429" i="6"/>
  <c r="F429" i="6"/>
  <c r="G336" i="6"/>
  <c r="F336" i="6"/>
  <c r="G368" i="6"/>
  <c r="F368" i="6"/>
  <c r="G417" i="6"/>
  <c r="F417" i="6"/>
  <c r="G485" i="6"/>
  <c r="F485" i="6"/>
  <c r="G433" i="6"/>
  <c r="F433" i="6"/>
  <c r="G452" i="6"/>
  <c r="F452" i="6"/>
  <c r="G345" i="6"/>
  <c r="F345" i="6"/>
  <c r="G405" i="6"/>
  <c r="F405" i="6"/>
  <c r="G487" i="6"/>
  <c r="F487" i="6"/>
  <c r="G361" i="6"/>
  <c r="F361" i="6"/>
  <c r="G445" i="6"/>
  <c r="F445" i="6"/>
  <c r="G466" i="6"/>
  <c r="F466" i="6"/>
  <c r="G455" i="6"/>
  <c r="F455" i="6"/>
  <c r="G315" i="6"/>
  <c r="F315" i="6"/>
  <c r="G465" i="6"/>
  <c r="F465" i="6"/>
  <c r="G352" i="6"/>
  <c r="F352" i="6"/>
  <c r="G462" i="6"/>
  <c r="F462" i="6"/>
  <c r="G330" i="6"/>
  <c r="F330" i="6"/>
  <c r="G351" i="6"/>
  <c r="F351" i="6"/>
  <c r="G422" i="6"/>
  <c r="F422" i="6"/>
  <c r="G406" i="6"/>
  <c r="F406" i="6"/>
  <c r="G496" i="6"/>
  <c r="F496" i="6"/>
  <c r="G333" i="6"/>
  <c r="F333" i="6"/>
  <c r="G329" i="6"/>
  <c r="F329" i="6"/>
  <c r="G58" i="6"/>
  <c r="F58" i="6"/>
  <c r="G65" i="6"/>
  <c r="F65" i="6"/>
  <c r="G51" i="6"/>
  <c r="F51" i="6"/>
  <c r="G115" i="6"/>
  <c r="F115" i="6"/>
  <c r="G205" i="6"/>
  <c r="F205" i="6"/>
  <c r="F146" i="6"/>
  <c r="G146" i="6"/>
  <c r="F161" i="6"/>
  <c r="G161" i="6"/>
  <c r="G264" i="6"/>
  <c r="F264" i="6"/>
  <c r="G147" i="6"/>
  <c r="F147" i="6"/>
  <c r="G276" i="6"/>
  <c r="F276" i="6"/>
  <c r="G299" i="6"/>
  <c r="F299" i="6"/>
  <c r="G119" i="6"/>
  <c r="F119" i="6"/>
  <c r="G208" i="6"/>
  <c r="F208" i="6"/>
  <c r="G162" i="6"/>
  <c r="F162" i="6"/>
  <c r="G143" i="6"/>
  <c r="F143" i="6"/>
  <c r="G94" i="6"/>
  <c r="F94" i="6"/>
  <c r="G231" i="6"/>
  <c r="F231" i="6"/>
  <c r="G91" i="6"/>
  <c r="F91" i="6"/>
  <c r="G155" i="6"/>
  <c r="F155" i="6"/>
  <c r="G192" i="6"/>
  <c r="F192" i="6"/>
  <c r="F289" i="6"/>
  <c r="G289" i="6"/>
  <c r="G83" i="6"/>
  <c r="F83" i="6"/>
  <c r="G196" i="6"/>
  <c r="F196" i="6"/>
  <c r="G105" i="6"/>
  <c r="F105" i="6"/>
  <c r="G247" i="6"/>
  <c r="F247" i="6"/>
  <c r="G285" i="6"/>
  <c r="F285" i="6"/>
  <c r="G121" i="6"/>
  <c r="F121" i="6"/>
  <c r="G237" i="6"/>
  <c r="F237" i="6"/>
  <c r="G266" i="6"/>
  <c r="F266" i="6"/>
  <c r="G287" i="6"/>
  <c r="F287" i="6"/>
  <c r="G136" i="6"/>
  <c r="F136" i="6"/>
  <c r="G182" i="6"/>
  <c r="F182" i="6"/>
  <c r="G255" i="6"/>
  <c r="F255" i="6"/>
  <c r="G72" i="6"/>
  <c r="F72" i="6"/>
  <c r="G453" i="6"/>
  <c r="F453" i="6"/>
  <c r="G391" i="6"/>
  <c r="F391" i="6"/>
  <c r="G423" i="6"/>
  <c r="F423" i="6"/>
  <c r="G439" i="6"/>
  <c r="F439" i="6"/>
  <c r="G404" i="6"/>
  <c r="F404" i="6"/>
  <c r="G383" i="6"/>
  <c r="F383" i="6"/>
  <c r="G311" i="6"/>
  <c r="F311" i="6"/>
  <c r="G416" i="6"/>
  <c r="F416" i="6"/>
  <c r="G344" i="6"/>
  <c r="F344" i="6"/>
  <c r="G471" i="6"/>
  <c r="F471" i="6"/>
  <c r="G372" i="6"/>
  <c r="F372" i="6"/>
  <c r="G388" i="6"/>
  <c r="F388" i="6"/>
  <c r="G418" i="6"/>
  <c r="F418" i="6"/>
  <c r="F346" i="6"/>
  <c r="G346" i="6"/>
  <c r="G477" i="6"/>
  <c r="F477" i="6"/>
  <c r="G441" i="6"/>
  <c r="F441" i="6"/>
  <c r="G337" i="6"/>
  <c r="F337" i="6"/>
  <c r="G476" i="6"/>
  <c r="F476" i="6"/>
  <c r="G442" i="6"/>
  <c r="F442" i="6"/>
  <c r="G309" i="6"/>
  <c r="F309" i="6"/>
  <c r="E2" i="6"/>
  <c r="F69" i="6"/>
  <c r="G69" i="6"/>
  <c r="G68" i="6"/>
  <c r="F68" i="6"/>
  <c r="G45" i="6"/>
  <c r="F45" i="6"/>
  <c r="G213" i="6"/>
  <c r="F213" i="6"/>
  <c r="G159" i="6"/>
  <c r="F159" i="6"/>
  <c r="G138" i="6"/>
  <c r="F138" i="6"/>
  <c r="G114" i="6"/>
  <c r="F114" i="6"/>
  <c r="G173" i="6"/>
  <c r="F173" i="6"/>
  <c r="G44" i="6"/>
  <c r="F44" i="6"/>
  <c r="G127" i="6"/>
  <c r="F127" i="6"/>
  <c r="F188" i="6"/>
  <c r="G188" i="6"/>
  <c r="G240" i="6"/>
  <c r="F240" i="6"/>
  <c r="G66" i="6"/>
  <c r="F66" i="6"/>
  <c r="G79" i="6"/>
  <c r="F79" i="6"/>
  <c r="G193" i="6"/>
  <c r="F193" i="6"/>
  <c r="G257" i="6"/>
  <c r="F257" i="6"/>
  <c r="G290" i="6"/>
  <c r="F290" i="6"/>
  <c r="G302" i="6"/>
  <c r="F302" i="6"/>
  <c r="G50" i="6"/>
  <c r="F50" i="6"/>
  <c r="F98" i="6"/>
  <c r="G98" i="6"/>
  <c r="G139" i="6"/>
  <c r="F139" i="6"/>
  <c r="G178" i="6"/>
  <c r="F178" i="6"/>
  <c r="G235" i="6"/>
  <c r="F235" i="6"/>
  <c r="G294" i="6"/>
  <c r="F294" i="6"/>
  <c r="G195" i="6"/>
  <c r="F195" i="6"/>
  <c r="G64" i="6"/>
  <c r="F64" i="6"/>
  <c r="G203" i="6"/>
  <c r="F203" i="6"/>
  <c r="G55" i="6"/>
  <c r="F55" i="6"/>
  <c r="G107" i="6"/>
  <c r="F107" i="6"/>
  <c r="G165" i="6"/>
  <c r="F165" i="6"/>
  <c r="G297" i="6"/>
  <c r="F297" i="6"/>
  <c r="G78" i="6"/>
  <c r="F78" i="6"/>
  <c r="G71" i="6"/>
  <c r="F71" i="6"/>
  <c r="G118" i="6"/>
  <c r="F118" i="6"/>
  <c r="G180" i="6"/>
  <c r="F180" i="6"/>
  <c r="G215" i="6"/>
  <c r="F215" i="6"/>
  <c r="G258" i="6"/>
  <c r="F258" i="6"/>
  <c r="F134" i="6"/>
  <c r="G134" i="6"/>
  <c r="G90" i="6"/>
  <c r="F90" i="6"/>
  <c r="G219" i="6"/>
  <c r="F219" i="6"/>
  <c r="G128" i="6"/>
  <c r="F128" i="6"/>
  <c r="G163" i="6"/>
  <c r="F163" i="6"/>
  <c r="G229" i="6"/>
  <c r="F229" i="6"/>
  <c r="G248" i="6"/>
  <c r="F248" i="6"/>
  <c r="G210" i="6"/>
  <c r="F210" i="6"/>
  <c r="G124" i="6"/>
  <c r="F124" i="6"/>
  <c r="G201" i="6"/>
  <c r="F201" i="6"/>
  <c r="G145" i="6"/>
  <c r="F145" i="6"/>
  <c r="F81" i="6"/>
  <c r="G81" i="6"/>
  <c r="G214" i="6"/>
  <c r="F214" i="6"/>
  <c r="G238" i="6"/>
  <c r="F238" i="6"/>
  <c r="G169" i="6"/>
  <c r="F169" i="6"/>
  <c r="G300" i="6"/>
  <c r="F300" i="6"/>
  <c r="G206" i="6"/>
  <c r="F206" i="6"/>
  <c r="G211" i="6"/>
  <c r="F211" i="6"/>
  <c r="F198" i="6"/>
  <c r="G198" i="6"/>
  <c r="G239" i="6"/>
  <c r="F239" i="6"/>
  <c r="G174" i="6"/>
  <c r="F174" i="6"/>
  <c r="G243" i="6"/>
  <c r="F243" i="6"/>
  <c r="G275" i="6"/>
  <c r="F275" i="6"/>
  <c r="G111" i="6"/>
  <c r="F111" i="6"/>
  <c r="F97" i="6"/>
  <c r="G97" i="6"/>
  <c r="G76" i="6"/>
  <c r="F76" i="6"/>
  <c r="F88" i="6"/>
  <c r="G88" i="6"/>
  <c r="G467" i="6"/>
  <c r="F467" i="6"/>
  <c r="G399" i="6"/>
  <c r="F399" i="6"/>
  <c r="G415" i="6"/>
  <c r="F415" i="6"/>
  <c r="G431" i="6"/>
  <c r="F431" i="6"/>
  <c r="G447" i="6"/>
  <c r="F447" i="6"/>
  <c r="G331" i="6"/>
  <c r="F331" i="6"/>
  <c r="G420" i="6"/>
  <c r="F420" i="6"/>
  <c r="G468" i="6"/>
  <c r="F468" i="6"/>
  <c r="G400" i="6"/>
  <c r="F400" i="6"/>
  <c r="G494" i="6"/>
  <c r="F494" i="6"/>
  <c r="G339" i="6"/>
  <c r="F339" i="6"/>
  <c r="G373" i="6"/>
  <c r="F373" i="6"/>
  <c r="G449" i="6"/>
  <c r="F449" i="6"/>
  <c r="G484" i="6"/>
  <c r="F484" i="6"/>
  <c r="F326" i="6"/>
  <c r="G326" i="6"/>
  <c r="G376" i="6"/>
  <c r="F376" i="6"/>
  <c r="G421" i="6"/>
  <c r="F421" i="6"/>
  <c r="G500" i="6"/>
  <c r="F500" i="6"/>
  <c r="G341" i="6"/>
  <c r="F341" i="6"/>
  <c r="G436" i="6"/>
  <c r="F436" i="6"/>
  <c r="G365" i="6"/>
  <c r="F365" i="6"/>
  <c r="G458" i="6"/>
  <c r="F458" i="6"/>
  <c r="G377" i="6"/>
  <c r="F377" i="6"/>
  <c r="G432" i="6"/>
  <c r="F432" i="6"/>
  <c r="G481" i="6"/>
  <c r="F481" i="6"/>
  <c r="G387" i="6"/>
  <c r="F387" i="6"/>
  <c r="G450" i="6"/>
  <c r="F450" i="6"/>
  <c r="G313" i="6"/>
  <c r="F313" i="6"/>
  <c r="F378" i="6"/>
  <c r="G378" i="6"/>
  <c r="G460" i="6"/>
  <c r="F460" i="6"/>
  <c r="G375" i="6"/>
  <c r="F375" i="6"/>
  <c r="G438" i="6"/>
  <c r="F438" i="6"/>
  <c r="G492" i="6"/>
  <c r="F492" i="6"/>
  <c r="G394" i="6"/>
  <c r="F394" i="6"/>
  <c r="G426" i="6"/>
  <c r="F426" i="6"/>
  <c r="G474" i="6"/>
  <c r="F474" i="6"/>
  <c r="G310" i="6"/>
  <c r="F310" i="6"/>
  <c r="G374" i="6"/>
  <c r="F374" i="6"/>
  <c r="G473" i="6"/>
  <c r="F473" i="6"/>
  <c r="G360" i="6"/>
  <c r="F360" i="6"/>
  <c r="G306" i="6"/>
  <c r="F306" i="6"/>
  <c r="F362" i="6"/>
  <c r="G362" i="6"/>
  <c r="G354" i="6"/>
  <c r="F354" i="6"/>
  <c r="G483" i="6"/>
  <c r="F483" i="6"/>
  <c r="G464" i="6"/>
  <c r="F464" i="6"/>
  <c r="G327" i="6"/>
  <c r="F327" i="6"/>
  <c r="G370" i="6"/>
  <c r="F370" i="6"/>
  <c r="G319" i="6"/>
  <c r="F319" i="6"/>
  <c r="G52" i="6"/>
  <c r="F52" i="6"/>
  <c r="G62" i="6"/>
  <c r="F62" i="6"/>
  <c r="G48" i="6"/>
  <c r="F48" i="6"/>
  <c r="G123" i="6"/>
  <c r="F123" i="6"/>
  <c r="G181" i="6"/>
  <c r="F181" i="6"/>
  <c r="G223" i="6"/>
  <c r="F223" i="6"/>
  <c r="G149" i="6"/>
  <c r="F149" i="6"/>
  <c r="G189" i="6"/>
  <c r="F189" i="6"/>
  <c r="F93" i="6"/>
  <c r="G93" i="6"/>
  <c r="G131" i="6"/>
  <c r="F131" i="6"/>
  <c r="G191" i="6"/>
  <c r="F191" i="6"/>
  <c r="G249" i="6"/>
  <c r="F249" i="6"/>
  <c r="G175" i="6"/>
  <c r="F175" i="6"/>
  <c r="G126" i="6"/>
  <c r="F126" i="6"/>
  <c r="G217" i="6"/>
  <c r="F217" i="6"/>
  <c r="G272" i="6"/>
  <c r="F272" i="6"/>
  <c r="G49" i="6"/>
  <c r="F49" i="6"/>
  <c r="G286" i="6"/>
  <c r="F286" i="6"/>
  <c r="F140" i="6"/>
  <c r="G140" i="6"/>
  <c r="G110" i="6"/>
  <c r="F110" i="6"/>
  <c r="G142" i="6"/>
  <c r="F142" i="6"/>
  <c r="G202" i="6"/>
  <c r="F202" i="6"/>
  <c r="G250" i="6"/>
  <c r="F250" i="6"/>
  <c r="G46" i="6"/>
  <c r="F46" i="6"/>
  <c r="G225" i="6"/>
  <c r="F225" i="6"/>
  <c r="G61" i="6"/>
  <c r="F61" i="6"/>
  <c r="G218" i="6"/>
  <c r="F218" i="6"/>
  <c r="G82" i="6"/>
  <c r="F82" i="6"/>
  <c r="G116" i="6"/>
  <c r="F116" i="6"/>
  <c r="G207" i="6"/>
  <c r="F207" i="6"/>
  <c r="G194" i="6"/>
  <c r="F194" i="6"/>
  <c r="G87" i="6"/>
  <c r="F87" i="6"/>
  <c r="G75" i="6"/>
  <c r="F75" i="6"/>
  <c r="G141" i="6"/>
  <c r="F141" i="6"/>
  <c r="G186" i="6"/>
  <c r="F186" i="6"/>
  <c r="G227" i="6"/>
  <c r="F227" i="6"/>
  <c r="G277" i="6"/>
  <c r="F277" i="6"/>
  <c r="G185" i="6"/>
  <c r="F185" i="6"/>
  <c r="F101" i="6"/>
  <c r="G101" i="6"/>
  <c r="G222" i="6"/>
  <c r="F222" i="6"/>
  <c r="G164" i="6"/>
  <c r="F164" i="6"/>
  <c r="G177" i="6"/>
  <c r="F177" i="6"/>
  <c r="G263" i="6"/>
  <c r="F263" i="6"/>
  <c r="G74" i="6"/>
  <c r="F74" i="6"/>
  <c r="G241" i="6"/>
  <c r="F241" i="6"/>
  <c r="G148" i="6"/>
  <c r="F148" i="6"/>
  <c r="F220" i="6"/>
  <c r="G220" i="6"/>
  <c r="G251" i="6"/>
  <c r="F251" i="6"/>
  <c r="G104" i="6"/>
  <c r="F104" i="6"/>
  <c r="G86" i="6"/>
  <c r="F86" i="6"/>
  <c r="G260" i="6"/>
  <c r="F260" i="6"/>
  <c r="G199" i="6"/>
  <c r="F199" i="6"/>
  <c r="G59" i="6"/>
  <c r="F59" i="6"/>
  <c r="G230" i="6"/>
  <c r="F230" i="6"/>
  <c r="G200" i="6"/>
  <c r="F200" i="6"/>
  <c r="G233" i="6"/>
  <c r="F233" i="6"/>
  <c r="F113" i="6"/>
  <c r="G113" i="6"/>
  <c r="G252" i="6"/>
  <c r="F252" i="6"/>
  <c r="G176" i="6"/>
  <c r="F176" i="6"/>
  <c r="G283" i="6"/>
  <c r="F283" i="6"/>
  <c r="G242" i="6"/>
  <c r="F242" i="6"/>
  <c r="G70" i="6"/>
  <c r="F70" i="6"/>
  <c r="G92" i="6"/>
  <c r="F92" i="6"/>
  <c r="G96" i="6"/>
  <c r="F96" i="6"/>
  <c r="G403" i="6"/>
  <c r="F403" i="6"/>
  <c r="G419" i="6"/>
  <c r="F419" i="6"/>
  <c r="G435" i="6"/>
  <c r="F435" i="6"/>
  <c r="G461" i="6"/>
  <c r="F461" i="6"/>
  <c r="G355" i="6"/>
  <c r="F355" i="6"/>
  <c r="G448" i="6"/>
  <c r="F448" i="6"/>
  <c r="G347" i="6"/>
  <c r="F347" i="6"/>
  <c r="G334" i="6"/>
  <c r="F334" i="6"/>
  <c r="G486" i="6"/>
  <c r="F486" i="6"/>
  <c r="G324" i="6"/>
  <c r="F324" i="6"/>
  <c r="G380" i="6"/>
  <c r="F380" i="6"/>
  <c r="G425" i="6"/>
  <c r="F425" i="6"/>
  <c r="G498" i="6"/>
  <c r="F498" i="6"/>
  <c r="G342" i="6"/>
  <c r="F342" i="6"/>
  <c r="G396" i="6"/>
  <c r="F396" i="6"/>
  <c r="G456" i="6"/>
  <c r="F456" i="6"/>
  <c r="G493" i="6"/>
  <c r="F493" i="6"/>
  <c r="G335" i="6"/>
  <c r="F335" i="6"/>
  <c r="G379" i="6"/>
  <c r="F379" i="6"/>
  <c r="G440" i="6"/>
  <c r="F440" i="6"/>
  <c r="G304" i="6"/>
  <c r="F304" i="6"/>
  <c r="G359" i="6"/>
  <c r="F359" i="6"/>
  <c r="G478" i="6"/>
  <c r="F478" i="6"/>
  <c r="G381" i="6"/>
  <c r="F381" i="6"/>
  <c r="G325" i="6"/>
  <c r="F325" i="6"/>
  <c r="G385" i="6"/>
  <c r="F385" i="6"/>
  <c r="G451" i="6"/>
  <c r="F451" i="6"/>
  <c r="G338" i="6"/>
  <c r="F338" i="6"/>
  <c r="G398" i="6"/>
  <c r="F398" i="6"/>
  <c r="G469" i="6"/>
  <c r="F469" i="6"/>
  <c r="G321" i="6"/>
  <c r="F321" i="6"/>
  <c r="G430" i="6"/>
  <c r="F430" i="6"/>
  <c r="G495" i="6"/>
  <c r="F495" i="6"/>
  <c r="G392" i="6"/>
  <c r="F392" i="6"/>
  <c r="G457" i="6"/>
  <c r="F457" i="6"/>
  <c r="G328" i="6"/>
  <c r="F328" i="6"/>
  <c r="G402" i="6"/>
  <c r="F402" i="6"/>
  <c r="G434" i="6"/>
  <c r="F434" i="6"/>
  <c r="G482" i="6"/>
  <c r="F482" i="6"/>
  <c r="G318" i="6"/>
  <c r="F318" i="6"/>
  <c r="G382" i="6"/>
  <c r="F382" i="6"/>
  <c r="G489" i="6"/>
  <c r="F489" i="6"/>
  <c r="G371" i="6"/>
  <c r="F371" i="6"/>
  <c r="G314" i="6"/>
  <c r="F314" i="6"/>
  <c r="G384" i="6"/>
  <c r="F384" i="6"/>
  <c r="G386" i="6"/>
  <c r="F386" i="6"/>
  <c r="G491" i="6"/>
  <c r="F491" i="6"/>
  <c r="G480" i="6"/>
  <c r="F480" i="6"/>
  <c r="G446" i="6"/>
  <c r="F446" i="6"/>
  <c r="G413" i="6"/>
  <c r="F413" i="6"/>
  <c r="G303" i="6"/>
  <c r="F303" i="6"/>
  <c r="E37" i="6"/>
  <c r="E21" i="6"/>
  <c r="E13" i="6"/>
  <c r="E10" i="6"/>
  <c r="E14" i="6"/>
  <c r="E42" i="6"/>
  <c r="E34" i="6"/>
  <c r="E26" i="6"/>
  <c r="E18" i="6"/>
  <c r="E3" i="6"/>
  <c r="E38" i="6"/>
  <c r="E30" i="6"/>
  <c r="E22" i="6"/>
  <c r="E15" i="6"/>
  <c r="E33" i="6"/>
  <c r="E29" i="6"/>
  <c r="E17" i="6"/>
  <c r="E9" i="6"/>
  <c r="E5" i="6"/>
  <c r="E27" i="6"/>
  <c r="E12" i="6"/>
  <c r="E32" i="6"/>
  <c r="E25" i="6"/>
  <c r="E31" i="6"/>
  <c r="E28" i="6"/>
  <c r="E11" i="6"/>
  <c r="E4" i="6"/>
  <c r="E35" i="6"/>
  <c r="E8" i="6"/>
  <c r="E41" i="6"/>
  <c r="E24" i="6"/>
  <c r="E7" i="6"/>
  <c r="E40" i="6"/>
  <c r="E23" i="6"/>
  <c r="E20" i="6"/>
  <c r="E6" i="6"/>
  <c r="E43" i="6"/>
  <c r="E16" i="6"/>
  <c r="E39" i="6"/>
  <c r="E36" i="6"/>
  <c r="E19" i="6"/>
  <c r="F2" i="2"/>
  <c r="B1" i="4" l="1"/>
  <c r="G20" i="6"/>
  <c r="F20" i="6"/>
  <c r="G4" i="6"/>
  <c r="F4" i="6"/>
  <c r="G5" i="6"/>
  <c r="F5" i="6"/>
  <c r="G38" i="6"/>
  <c r="F38" i="6"/>
  <c r="G13" i="6"/>
  <c r="F13" i="6"/>
  <c r="G2" i="6"/>
  <c r="F2" i="6"/>
  <c r="G16" i="6"/>
  <c r="F16" i="6"/>
  <c r="G23" i="6"/>
  <c r="F23" i="6"/>
  <c r="G41" i="6"/>
  <c r="F41" i="6"/>
  <c r="G11" i="6"/>
  <c r="F11" i="6"/>
  <c r="G32" i="6"/>
  <c r="F32" i="6"/>
  <c r="G9" i="6"/>
  <c r="F9" i="6"/>
  <c r="G15" i="6"/>
  <c r="F15" i="6"/>
  <c r="G3" i="6"/>
  <c r="F3" i="6"/>
  <c r="G42" i="6"/>
  <c r="F42" i="6"/>
  <c r="G21" i="6"/>
  <c r="F21" i="6"/>
  <c r="G19" i="6"/>
  <c r="F19" i="6"/>
  <c r="G43" i="6"/>
  <c r="F43" i="6"/>
  <c r="G40" i="6"/>
  <c r="F40" i="6"/>
  <c r="G8" i="6"/>
  <c r="F8" i="6"/>
  <c r="G28" i="6"/>
  <c r="F28" i="6"/>
  <c r="G12" i="6"/>
  <c r="F12" i="6"/>
  <c r="G17" i="6"/>
  <c r="F17" i="6"/>
  <c r="G22" i="6"/>
  <c r="F22" i="6"/>
  <c r="G18" i="6"/>
  <c r="F18" i="6"/>
  <c r="G14" i="6"/>
  <c r="F14" i="6"/>
  <c r="G37" i="6"/>
  <c r="F37" i="6"/>
  <c r="G39" i="6"/>
  <c r="F39" i="6"/>
  <c r="G24" i="6"/>
  <c r="F24" i="6"/>
  <c r="G25" i="6"/>
  <c r="F25" i="6"/>
  <c r="G33" i="6"/>
  <c r="F33" i="6"/>
  <c r="G34" i="6"/>
  <c r="F34" i="6"/>
  <c r="G36" i="6"/>
  <c r="F36" i="6"/>
  <c r="G6" i="6"/>
  <c r="F6" i="6"/>
  <c r="G7" i="6"/>
  <c r="F7" i="6"/>
  <c r="G35" i="6"/>
  <c r="F35" i="6"/>
  <c r="G31" i="6"/>
  <c r="F31" i="6"/>
  <c r="G27" i="6"/>
  <c r="F27" i="6"/>
  <c r="G29" i="6"/>
  <c r="F29" i="6"/>
  <c r="G30" i="6"/>
  <c r="F30" i="6"/>
  <c r="G26" i="6"/>
  <c r="F26" i="6"/>
  <c r="G10" i="6"/>
  <c r="F10" i="6"/>
  <c r="B3" i="4" l="1"/>
  <c r="B2" i="4"/>
  <c r="L2" i="6"/>
  <c r="L37" i="6"/>
  <c r="F70" i="7"/>
  <c r="F134" i="7"/>
  <c r="F198" i="7"/>
  <c r="F262" i="7"/>
  <c r="F149" i="7"/>
  <c r="F119" i="7"/>
  <c r="F247" i="7"/>
  <c r="F56" i="7"/>
  <c r="F184" i="7"/>
  <c r="F248" i="7"/>
  <c r="F82" i="7"/>
  <c r="F146" i="7"/>
  <c r="F210" i="7"/>
  <c r="F242" i="7"/>
  <c r="F97" i="7"/>
  <c r="F71" i="7"/>
  <c r="F199" i="7"/>
  <c r="F193" i="7"/>
  <c r="F72" i="7"/>
  <c r="F200" i="7"/>
  <c r="F264" i="7"/>
  <c r="F169" i="7"/>
  <c r="F54" i="7"/>
  <c r="F86" i="7"/>
  <c r="F118" i="7"/>
  <c r="F150" i="7"/>
  <c r="F182" i="7"/>
  <c r="F214" i="7"/>
  <c r="F246" i="7"/>
  <c r="F278" i="7"/>
  <c r="F105" i="7"/>
  <c r="F233" i="7"/>
  <c r="F87" i="7"/>
  <c r="F151" i="7"/>
  <c r="F215" i="7"/>
  <c r="F279" i="7"/>
  <c r="F241" i="7"/>
  <c r="F88" i="7"/>
  <c r="F152" i="7"/>
  <c r="F216" i="7"/>
  <c r="F280" i="7"/>
  <c r="F213" i="7"/>
  <c r="F38" i="7"/>
  <c r="F102" i="7"/>
  <c r="F166" i="7"/>
  <c r="F230" i="7"/>
  <c r="F65" i="7"/>
  <c r="F55" i="7"/>
  <c r="F183" i="7"/>
  <c r="F137" i="7"/>
  <c r="F120" i="7"/>
  <c r="F121" i="7"/>
  <c r="F50" i="7"/>
  <c r="F114" i="7"/>
  <c r="F178" i="7"/>
  <c r="F274" i="7"/>
  <c r="F185" i="7"/>
  <c r="F135" i="7"/>
  <c r="F263" i="7"/>
  <c r="F136" i="7"/>
  <c r="F66" i="7"/>
  <c r="F98" i="7"/>
  <c r="F130" i="7"/>
  <c r="F162" i="7"/>
  <c r="F194" i="7"/>
  <c r="F226" i="7"/>
  <c r="F258" i="7"/>
  <c r="F53" i="7"/>
  <c r="F141" i="7"/>
  <c r="F39" i="7"/>
  <c r="F103" i="7"/>
  <c r="F167" i="7"/>
  <c r="F231" i="7"/>
  <c r="F89" i="7"/>
  <c r="F40" i="7"/>
  <c r="F104" i="7"/>
  <c r="F168" i="7"/>
  <c r="F232" i="7"/>
  <c r="F69" i="7"/>
  <c r="F261" i="7"/>
  <c r="F245" i="7"/>
  <c r="F59" i="7"/>
  <c r="F91" i="7"/>
  <c r="F123" i="7"/>
  <c r="F155" i="7"/>
  <c r="F187" i="7"/>
  <c r="F235" i="7"/>
  <c r="F267" i="7"/>
  <c r="F101" i="7"/>
  <c r="F205" i="7"/>
  <c r="F44" i="7"/>
  <c r="F76" i="7"/>
  <c r="F108" i="7"/>
  <c r="F140" i="7"/>
  <c r="F172" i="7"/>
  <c r="F204" i="7"/>
  <c r="F236" i="7"/>
  <c r="F252" i="7"/>
  <c r="F41" i="7"/>
  <c r="F81" i="7"/>
  <c r="F133" i="7"/>
  <c r="F225" i="7"/>
  <c r="F269" i="7"/>
  <c r="F42" i="7"/>
  <c r="F58" i="7"/>
  <c r="F74" i="7"/>
  <c r="F90" i="7"/>
  <c r="F106" i="7"/>
  <c r="F122" i="7"/>
  <c r="F138" i="7"/>
  <c r="F154" i="7"/>
  <c r="F170" i="7"/>
  <c r="F186" i="7"/>
  <c r="F202" i="7"/>
  <c r="F218" i="7"/>
  <c r="F234" i="7"/>
  <c r="F250" i="7"/>
  <c r="F266" i="7"/>
  <c r="F282" i="7"/>
  <c r="F73" i="7"/>
  <c r="F117" i="7"/>
  <c r="F161" i="7"/>
  <c r="F209" i="7"/>
  <c r="F257" i="7"/>
  <c r="F47" i="7"/>
  <c r="F63" i="7"/>
  <c r="F79" i="7"/>
  <c r="F95" i="7"/>
  <c r="F111" i="7"/>
  <c r="F127" i="7"/>
  <c r="F143" i="7"/>
  <c r="F159" i="7"/>
  <c r="F175" i="7"/>
  <c r="F191" i="7"/>
  <c r="F207" i="7"/>
  <c r="F223" i="7"/>
  <c r="F239" i="7"/>
  <c r="F255" i="7"/>
  <c r="F271" i="7"/>
  <c r="F49" i="7"/>
  <c r="F113" i="7"/>
  <c r="F165" i="7"/>
  <c r="F217" i="7"/>
  <c r="F265" i="7"/>
  <c r="F48" i="7"/>
  <c r="F64" i="7"/>
  <c r="F80" i="7"/>
  <c r="F96" i="7"/>
  <c r="F112" i="7"/>
  <c r="F128" i="7"/>
  <c r="F144" i="7"/>
  <c r="F160" i="7"/>
  <c r="F176" i="7"/>
  <c r="F192" i="7"/>
  <c r="F208" i="7"/>
  <c r="F224" i="7"/>
  <c r="F240" i="7"/>
  <c r="F256" i="7"/>
  <c r="F272" i="7"/>
  <c r="F57" i="7"/>
  <c r="F93" i="7"/>
  <c r="F145" i="7"/>
  <c r="F189" i="7"/>
  <c r="F237" i="7"/>
  <c r="F281" i="7"/>
  <c r="F197" i="7"/>
  <c r="F43" i="7"/>
  <c r="F75" i="7"/>
  <c r="F107" i="7"/>
  <c r="F139" i="7"/>
  <c r="F171" i="7"/>
  <c r="F203" i="7"/>
  <c r="F219" i="7"/>
  <c r="F251" i="7"/>
  <c r="F283" i="7"/>
  <c r="F153" i="7"/>
  <c r="F253" i="7"/>
  <c r="F60" i="7"/>
  <c r="F92" i="7"/>
  <c r="F124" i="7"/>
  <c r="F156" i="7"/>
  <c r="F188" i="7"/>
  <c r="F220" i="7"/>
  <c r="F268" i="7"/>
  <c r="F181" i="7"/>
  <c r="F46" i="7"/>
  <c r="F62" i="7"/>
  <c r="F78" i="7"/>
  <c r="F94" i="7"/>
  <c r="F110" i="7"/>
  <c r="F126" i="7"/>
  <c r="F142" i="7"/>
  <c r="F158" i="7"/>
  <c r="F174" i="7"/>
  <c r="F190" i="7"/>
  <c r="F206" i="7"/>
  <c r="F222" i="7"/>
  <c r="F238" i="7"/>
  <c r="F254" i="7"/>
  <c r="F270" i="7"/>
  <c r="F45" i="7"/>
  <c r="F85" i="7"/>
  <c r="F129" i="7"/>
  <c r="F173" i="7"/>
  <c r="F221" i="7"/>
  <c r="F273" i="7"/>
  <c r="F51" i="7"/>
  <c r="F67" i="7"/>
  <c r="F83" i="7"/>
  <c r="F99" i="7"/>
  <c r="F115" i="7"/>
  <c r="F131" i="7"/>
  <c r="F147" i="7"/>
  <c r="F163" i="7"/>
  <c r="F179" i="7"/>
  <c r="F195" i="7"/>
  <c r="F211" i="7"/>
  <c r="F227" i="7"/>
  <c r="F243" i="7"/>
  <c r="F259" i="7"/>
  <c r="F275" i="7"/>
  <c r="F77" i="7"/>
  <c r="F125" i="7"/>
  <c r="F177" i="7"/>
  <c r="F229" i="7"/>
  <c r="F277" i="7"/>
  <c r="F52" i="7"/>
  <c r="F68" i="7"/>
  <c r="F84" i="7"/>
  <c r="F100" i="7"/>
  <c r="F116" i="7"/>
  <c r="F132" i="7"/>
  <c r="F148" i="7"/>
  <c r="F164" i="7"/>
  <c r="F180" i="7"/>
  <c r="F196" i="7"/>
  <c r="F212" i="7"/>
  <c r="F228" i="7"/>
  <c r="F244" i="7"/>
  <c r="F260" i="7"/>
  <c r="F276" i="7"/>
  <c r="F61" i="7"/>
  <c r="F109" i="7"/>
  <c r="F157" i="7"/>
  <c r="F201" i="7"/>
  <c r="F249" i="7"/>
  <c r="F37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IsraelJosiah</author>
  </authors>
  <commentList>
    <comment ref="D21" authorId="0" shapeId="0" xr:uid="{FFE3A4EE-36DC-408D-9650-A7FDB9D53ED4}">
      <text>
        <r>
          <rPr>
            <b/>
            <sz val="9"/>
            <color indexed="81"/>
            <rFont val="Tahoma"/>
            <family val="2"/>
          </rPr>
          <t>IsraelJosiah:</t>
        </r>
        <r>
          <rPr>
            <sz val="9"/>
            <color indexed="81"/>
            <rFont val="Tahoma"/>
            <family val="2"/>
          </rPr>
          <t xml:space="preserve">
Separate all laptops and give them code</t>
        </r>
      </text>
    </comment>
  </commentList>
</comments>
</file>

<file path=xl/sharedStrings.xml><?xml version="1.0" encoding="utf-8"?>
<sst xmlns="http://schemas.openxmlformats.org/spreadsheetml/2006/main" count="485" uniqueCount="154">
  <si>
    <t>Product Name</t>
  </si>
  <si>
    <t>In/Out</t>
  </si>
  <si>
    <t>Date</t>
  </si>
  <si>
    <t>Qty</t>
  </si>
  <si>
    <t>Closing Stock</t>
  </si>
  <si>
    <t>Opening Stock</t>
  </si>
  <si>
    <t>In</t>
  </si>
  <si>
    <t>Out</t>
  </si>
  <si>
    <t>Total Value</t>
  </si>
  <si>
    <t>Total Cost Value</t>
  </si>
  <si>
    <t>Item Code</t>
  </si>
  <si>
    <t>Item Description</t>
  </si>
  <si>
    <t>Item Category</t>
  </si>
  <si>
    <t>Store Location</t>
  </si>
  <si>
    <t>Current Value</t>
  </si>
  <si>
    <t>Note (Purpose of Storage or retrieval)</t>
  </si>
  <si>
    <t>Qty (Damaged)</t>
  </si>
  <si>
    <t>Taken By/Stored by</t>
  </si>
  <si>
    <t>DEVICES AND GADGETS</t>
  </si>
  <si>
    <t>PRINTER (SHARP-AR-5316E)</t>
  </si>
  <si>
    <t>-</t>
  </si>
  <si>
    <t>STORE ROOM 2</t>
  </si>
  <si>
    <t>ADMINISTRATOR</t>
  </si>
  <si>
    <t>HPLJ.420-PCL-6F-SB ON WEKC ANDOVER1 (PRINTER)</t>
  </si>
  <si>
    <t>PRINTER- HP- OFFICE JET PRO-T8600</t>
  </si>
  <si>
    <t>DAMAGED</t>
  </si>
  <si>
    <t>2005 - 2009</t>
  </si>
  <si>
    <t>PRINTER - HP LASER JET 24 20DH</t>
  </si>
  <si>
    <t>2015 - 2017</t>
  </si>
  <si>
    <t>PRINTER LX MARK E232</t>
  </si>
  <si>
    <t>2003 - 2005</t>
  </si>
  <si>
    <t>PRINTER - CANON PIXNAA</t>
  </si>
  <si>
    <t>MINI PRINTER CANON PIXNAA</t>
  </si>
  <si>
    <t>PRINTER AND SCANNER HP. DESKJET F2280</t>
  </si>
  <si>
    <t>2015 - 2019</t>
  </si>
  <si>
    <t>PRINTER HP. LASERJET P1102</t>
  </si>
  <si>
    <t>2017 - 2020</t>
  </si>
  <si>
    <t>FLAT SCANNERS (MECURY AND CANNON)</t>
  </si>
  <si>
    <t>PRINTER AND SCANNER HP. PHOTOSMART</t>
  </si>
  <si>
    <t>2020 - 2021</t>
  </si>
  <si>
    <t>C.P.U</t>
  </si>
  <si>
    <t>STORE ROOM 3</t>
  </si>
  <si>
    <t>2008 - 2009</t>
  </si>
  <si>
    <t>U.P.S</t>
  </si>
  <si>
    <t>2010 - 2019</t>
  </si>
  <si>
    <t>THERMAL - PRINTERS SAMS</t>
  </si>
  <si>
    <t>2017 - 2021</t>
  </si>
  <si>
    <t>PRINTER CARTRIDGES</t>
  </si>
  <si>
    <t>PROJECTOR (SONY)</t>
  </si>
  <si>
    <t xml:space="preserve">MINI - DESKTOP SCREENS </t>
  </si>
  <si>
    <t>LAND LINE PHONES</t>
  </si>
  <si>
    <t>BINDING MACHINE</t>
  </si>
  <si>
    <t>2018 - 2021</t>
  </si>
  <si>
    <t>2019 - 2021</t>
  </si>
  <si>
    <t>COMPUTER HARDWARE</t>
  </si>
  <si>
    <t>2015 - 2022</t>
  </si>
  <si>
    <t>Purchase Price</t>
  </si>
  <si>
    <t>Date In-Use</t>
  </si>
  <si>
    <t>USABLE</t>
  </si>
  <si>
    <t>Purchase price per Unit</t>
  </si>
  <si>
    <t>Current Value Per Unit</t>
  </si>
  <si>
    <t>Qty (Repair)</t>
  </si>
  <si>
    <t>Qty (Usable)</t>
  </si>
  <si>
    <t>Item(s) State</t>
  </si>
  <si>
    <t>Usable Asset</t>
  </si>
  <si>
    <t>Damaged Asset</t>
  </si>
  <si>
    <t>Repairable Asset</t>
  </si>
  <si>
    <t>Initial Asset Value</t>
  </si>
  <si>
    <t>Current Asset</t>
  </si>
  <si>
    <t>Tot. Asset Value</t>
  </si>
  <si>
    <t>Est. Asset Worth</t>
  </si>
  <si>
    <t>Est. Asset Value</t>
  </si>
  <si>
    <t>Asset Category</t>
  </si>
  <si>
    <t>Computer Hardware</t>
  </si>
  <si>
    <t xml:space="preserve">Devices &amp; Gadgets </t>
  </si>
  <si>
    <t>Wires &amp; Cables</t>
  </si>
  <si>
    <t>Records &amp; Data</t>
  </si>
  <si>
    <t>Store Room 1</t>
  </si>
  <si>
    <t>Store Room 2</t>
  </si>
  <si>
    <t>Store Room 3</t>
  </si>
  <si>
    <t>Stored/Taken By</t>
  </si>
  <si>
    <t>Administrator</t>
  </si>
  <si>
    <t>Maintenance</t>
  </si>
  <si>
    <t>Nurse</t>
  </si>
  <si>
    <t>Doctor</t>
  </si>
  <si>
    <t>Pharmacy</t>
  </si>
  <si>
    <t>Laboratory</t>
  </si>
  <si>
    <t>ASI0003</t>
  </si>
  <si>
    <t>ASI0004</t>
  </si>
  <si>
    <t>ASI0005</t>
  </si>
  <si>
    <t>ASI0006</t>
  </si>
  <si>
    <t>ASI0007</t>
  </si>
  <si>
    <t>ASI0008</t>
  </si>
  <si>
    <t>ASI0009</t>
  </si>
  <si>
    <t>ASI0001</t>
  </si>
  <si>
    <t>ASI0002</t>
  </si>
  <si>
    <t>ASUS LAPTOPS</t>
  </si>
  <si>
    <t>LAPTOP CHARGER ADAPTOR</t>
  </si>
  <si>
    <t>LAPTOP MOUSE</t>
  </si>
  <si>
    <t>WIRES AND CABLES</t>
  </si>
  <si>
    <t>PRINTER CABLE (CONNECTORS)</t>
  </si>
  <si>
    <t>ETHERNET WIRES (CAT.6)</t>
  </si>
  <si>
    <t>GADGET BLOWER</t>
  </si>
  <si>
    <t>LAPTOP CAMERA</t>
  </si>
  <si>
    <t>KEYBOARDS</t>
  </si>
  <si>
    <t>2012 - 2013</t>
  </si>
  <si>
    <t>WIRELESS ROUTERS</t>
  </si>
  <si>
    <t>2015 - 2020</t>
  </si>
  <si>
    <t>INVERTER BATTERY</t>
  </si>
  <si>
    <t>2018 - 2022</t>
  </si>
  <si>
    <t>SWITCHES</t>
  </si>
  <si>
    <t>LAPTOP BATTERIES</t>
  </si>
  <si>
    <t>IN Yards</t>
  </si>
  <si>
    <t>HP LAPTOPS</t>
  </si>
  <si>
    <t>DELL LAPTOPS</t>
  </si>
  <si>
    <t>State</t>
  </si>
  <si>
    <t>Usable-In</t>
  </si>
  <si>
    <t>Usable-Out</t>
  </si>
  <si>
    <t>Damaged-In</t>
  </si>
  <si>
    <t>Damaged-out</t>
  </si>
  <si>
    <t>Repairable-In</t>
  </si>
  <si>
    <t>Repairable-Out</t>
  </si>
  <si>
    <t>Asset Management Template for Store</t>
  </si>
  <si>
    <t>ASI00010</t>
  </si>
  <si>
    <t>ASI00011</t>
  </si>
  <si>
    <t>ASI00012</t>
  </si>
  <si>
    <t>ASI00013</t>
  </si>
  <si>
    <t>ASI00014</t>
  </si>
  <si>
    <t>ASI00015</t>
  </si>
  <si>
    <t>ASI00016</t>
  </si>
  <si>
    <t>ASI00017</t>
  </si>
  <si>
    <t>ASI00018</t>
  </si>
  <si>
    <t>ASI00019</t>
  </si>
  <si>
    <t>ASI00020</t>
  </si>
  <si>
    <t>ASI00021</t>
  </si>
  <si>
    <t>ASI00022</t>
  </si>
  <si>
    <t>ASI00023</t>
  </si>
  <si>
    <t>ASI00024</t>
  </si>
  <si>
    <t>ASI00025</t>
  </si>
  <si>
    <t>ASI00026</t>
  </si>
  <si>
    <t>ASI00027</t>
  </si>
  <si>
    <t>ASI00028</t>
  </si>
  <si>
    <t>ASI00029</t>
  </si>
  <si>
    <t>ASI00030</t>
  </si>
  <si>
    <t>ASI00031</t>
  </si>
  <si>
    <t>ASI00032</t>
  </si>
  <si>
    <t>ASI00033</t>
  </si>
  <si>
    <t>ASI00034</t>
  </si>
  <si>
    <t>ASI00035</t>
  </si>
  <si>
    <t>Stationaries &amp; Office Tools</t>
  </si>
  <si>
    <t>LAPTOP CHARGER POWER CABLE</t>
  </si>
  <si>
    <t>2013 - 2016</t>
  </si>
  <si>
    <t>2017 - 2019</t>
  </si>
  <si>
    <t>HDMI CABLES (2 serial cable, 2vga, 1dvi)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</si>
</sst>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2" x14ac:knownFonts="1">
    <font>
      <sz val="11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22"/>
      <color theme="0"/>
      <name val="Arial Rounded MT Bold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0"/>
      <color theme="1" tint="0.14999847407452621"/>
      <name val="Calibri"/>
      <family val="2"/>
      <scheme val="minor"/>
    </font>
    <font>
      <sz val="11"/>
      <color theme="1" tint="0.1499984740745262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9" tint="-0.25098422193060094"/>
        </stop>
        <stop position="1">
          <color theme="9" tint="-0.25098422193060094"/>
        </stop>
      </gradientFill>
    </fill>
    <fill>
      <gradientFill>
        <stop position="0">
          <color theme="9" tint="-0.25098422193060094"/>
        </stop>
        <stop position="1">
          <color theme="9" tint="0.80001220740379042"/>
        </stop>
      </gradientFill>
    </fill>
    <fill>
      <patternFill patternType="solid">
        <fgColor theme="9" tint="-0.2499465926084170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theme="0" tint="-0.499984740745262"/>
      </right>
      <top/>
      <bottom/>
      <diagonal/>
    </border>
  </borders>
  <cellStyleXfs count="2">
    <xf numFmtId="0" fontId="0" fillId="0" borderId="0"/>
    <xf numFmtId="164" fontId="5" fillId="0" borderId="0" applyFont="0" applyFill="0" applyBorder="0" applyAlignment="0" applyProtection="0"/>
  </cellStyleXfs>
  <cellXfs count="24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5" fontId="1" fillId="0" borderId="1" xfId="0" applyNumberFormat="1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4" fillId="0" borderId="0" xfId="0" applyFont="1"/>
    <xf numFmtId="165" fontId="0" fillId="0" borderId="0" xfId="1" applyNumberFormat="1" applyFont="1"/>
    <xf numFmtId="0" fontId="1" fillId="5" borderId="1" xfId="0" applyFont="1" applyFill="1" applyBorder="1" applyAlignment="1">
      <alignment horizontal="center" vertical="center"/>
    </xf>
    <xf numFmtId="2" fontId="1" fillId="5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14" fontId="2" fillId="2" borderId="1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0" xfId="0" applyNumberFormat="1"/>
    <xf numFmtId="0" fontId="6" fillId="8" borderId="1" xfId="0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4" fontId="10" fillId="0" borderId="1" xfId="0" applyNumberFormat="1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0" fontId="11" fillId="0" borderId="0" xfId="0" applyFont="1"/>
    <xf numFmtId="0" fontId="3" fillId="6" borderId="0" xfId="0" applyFont="1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7" borderId="2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4"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33CC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254000</xdr:colOff>
      <xdr:row>2</xdr:row>
      <xdr:rowOff>88900</xdr:rowOff>
    </xdr:from>
    <xdr:to>
      <xdr:col>0</xdr:col>
      <xdr:colOff>1492250</xdr:colOff>
      <xdr:row>5</xdr:row>
      <xdr:rowOff>82550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ED4936F2-7312-4171-BCD5-A7EA470A20C0}"/>
            </a:ext>
          </a:extLst>
        </xdr:cNvPr>
        <xdr:cNvGrpSpPr/>
      </xdr:nvGrpSpPr>
      <xdr:grpSpPr>
        <a:xfrm>
          <a:off x="254000" y="555625"/>
          <a:ext cx="1238250" cy="565150"/>
          <a:chOff x="190500" y="596900"/>
          <a:chExt cx="1238250" cy="546100"/>
        </a:xfrm>
      </xdr:grpSpPr>
      <xdr:sp macro="[0]!Current_Stock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D8F5BDDE-0802-4D98-B111-006C582D8FF2}"/>
              </a:ext>
            </a:extLst>
          </xdr:cNvPr>
          <xdr:cNvSpPr/>
        </xdr:nvSpPr>
        <xdr:spPr>
          <a:xfrm>
            <a:off x="190500" y="596900"/>
            <a:ext cx="1238250" cy="546100"/>
          </a:xfrm>
          <a:prstGeom prst="roundRect">
            <a:avLst>
              <a:gd name="adj" fmla="val 13179"/>
            </a:avLst>
          </a:prstGeom>
          <a:solidFill>
            <a:schemeClr val="bg1"/>
          </a:solidFill>
          <a:ln/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urrent_Stock" textlink="Support!A1">
        <xdr:nvSpPr>
          <xdr:cNvPr id="5" name="Rectangle 4">
            <a:extLst>
              <a:ext uri="{FF2B5EF4-FFF2-40B4-BE49-F238E27FC236}">
                <a16:creationId xmlns:a16="http://schemas.microsoft.com/office/drawing/2014/main" id="{1E5ED298-BB4D-43BD-A4B4-7A51865C53C3}"/>
              </a:ext>
            </a:extLst>
          </xdr:cNvPr>
          <xdr:cNvSpPr/>
        </xdr:nvSpPr>
        <xdr:spPr>
          <a:xfrm>
            <a:off x="301208" y="871035"/>
            <a:ext cx="966034" cy="264560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fld id="{219EF8ED-0174-4625-B1BF-EC9B4BC31B39}" type="TxLink">
              <a:rPr lang="en-US" sz="1100" b="0" i="0" u="none" strike="noStrike" cap="none" spc="0">
                <a:ln w="0"/>
                <a:solidFill>
                  <a:srgbClr val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/>
                <a:cs typeface="Calibri"/>
              </a:rPr>
              <a:pPr algn="ctr"/>
              <a:t>Current Asset</a:t>
            </a:fld>
            <a:endPara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[0]!Current_Stock" textlink="Support!B1">
        <xdr:nvSpPr>
          <xdr:cNvPr id="6" name="Rectangle 5">
            <a:extLst>
              <a:ext uri="{FF2B5EF4-FFF2-40B4-BE49-F238E27FC236}">
                <a16:creationId xmlns:a16="http://schemas.microsoft.com/office/drawing/2014/main" id="{22A990D3-1301-4194-BF6D-B8E58749D584}"/>
              </a:ext>
            </a:extLst>
          </xdr:cNvPr>
          <xdr:cNvSpPr/>
        </xdr:nvSpPr>
        <xdr:spPr>
          <a:xfrm>
            <a:off x="209550" y="648785"/>
            <a:ext cx="1206500" cy="270395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60CE08AC-224F-4617-8D2B-5ABAA197083B}" type="TxLink">
              <a:rPr lang="en-US" sz="1200" b="1" i="0" u="none" strike="noStrike" cap="none" spc="50">
                <a:ln w="0"/>
                <a:solidFill>
                  <a:schemeClr val="accent4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Arial Rounded MT Bold" panose="020F0704030504030204" pitchFamily="34" charset="0"/>
                <a:cs typeface="Calibri"/>
              </a:rPr>
              <a:pPr algn="ctr"/>
              <a:t>319 item(s)</a:t>
            </a:fld>
            <a:endParaRPr lang="en-US" sz="6000" b="1" cap="none" spc="50">
              <a:ln w="0"/>
              <a:solidFill>
                <a:schemeClr val="accent4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endParaRPr>
          </a:p>
        </xdr:txBody>
      </xdr:sp>
    </xdr:grpSp>
    <xdr:clientData/>
  </xdr:twoCellAnchor>
  <xdr:twoCellAnchor>
    <xdr:from>
      <xdr:col>0</xdr:col>
      <xdr:colOff>1785687</xdr:colOff>
      <xdr:row>2</xdr:row>
      <xdr:rowOff>88900</xdr:rowOff>
    </xdr:from>
    <xdr:to>
      <xdr:col>1</xdr:col>
      <xdr:colOff>142877</xdr:colOff>
      <xdr:row>5</xdr:row>
      <xdr:rowOff>82550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810C2202-4BA2-7703-A9BF-9D2F433AFFF1}"/>
            </a:ext>
          </a:extLst>
        </xdr:cNvPr>
        <xdr:cNvGrpSpPr/>
      </xdr:nvGrpSpPr>
      <xdr:grpSpPr>
        <a:xfrm>
          <a:off x="1785687" y="555625"/>
          <a:ext cx="1186115" cy="565150"/>
          <a:chOff x="1785526" y="555625"/>
          <a:chExt cx="1138650" cy="565150"/>
        </a:xfrm>
      </xdr:grpSpPr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41B9FE87-E39A-4CCB-83F4-26C3FB321491}"/>
              </a:ext>
            </a:extLst>
          </xdr:cNvPr>
          <xdr:cNvSpPr/>
        </xdr:nvSpPr>
        <xdr:spPr>
          <a:xfrm>
            <a:off x="1819276" y="555625"/>
            <a:ext cx="1104900" cy="565150"/>
          </a:xfrm>
          <a:prstGeom prst="roundRect">
            <a:avLst>
              <a:gd name="adj" fmla="val 13179"/>
            </a:avLst>
          </a:prstGeom>
          <a:solidFill>
            <a:schemeClr val="bg1"/>
          </a:solidFill>
          <a:ln/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Support!A2">
        <xdr:nvSpPr>
          <xdr:cNvPr id="10" name="Rectangle 9">
            <a:extLst>
              <a:ext uri="{FF2B5EF4-FFF2-40B4-BE49-F238E27FC236}">
                <a16:creationId xmlns:a16="http://schemas.microsoft.com/office/drawing/2014/main" id="{EB62FA11-19A1-4F27-8CE9-9E726DBCC233}"/>
              </a:ext>
            </a:extLst>
          </xdr:cNvPr>
          <xdr:cNvSpPr/>
        </xdr:nvSpPr>
        <xdr:spPr>
          <a:xfrm>
            <a:off x="1785526" y="839322"/>
            <a:ext cx="1127075" cy="264560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fld id="{A6CEC08D-7553-4C5B-A07A-732C201B43F8}" type="TxLink">
              <a:rPr lang="en-US" sz="1100" b="0" i="0" u="none" strike="noStrike" cap="none" spc="0">
                <a:ln w="0"/>
                <a:solidFill>
                  <a:srgbClr val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/>
                <a:ea typeface="+mn-ea"/>
                <a:cs typeface="Calibri"/>
              </a:rPr>
              <a:pPr marL="0" indent="0" algn="ctr"/>
              <a:t>Tot. Asset Value</a:t>
            </a:fld>
            <a:endParaRPr lang="en-US" sz="11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ea typeface="+mn-ea"/>
              <a:cs typeface="Calibri"/>
            </a:endParaRPr>
          </a:p>
        </xdr:txBody>
      </xdr:sp>
      <xdr:sp macro="" textlink="Support!B2">
        <xdr:nvSpPr>
          <xdr:cNvPr id="11" name="Rectangle 10">
            <a:extLst>
              <a:ext uri="{FF2B5EF4-FFF2-40B4-BE49-F238E27FC236}">
                <a16:creationId xmlns:a16="http://schemas.microsoft.com/office/drawing/2014/main" id="{910E4075-B1D6-4C50-B6F3-4B8DB49EA858}"/>
              </a:ext>
            </a:extLst>
          </xdr:cNvPr>
          <xdr:cNvSpPr/>
        </xdr:nvSpPr>
        <xdr:spPr>
          <a:xfrm>
            <a:off x="1836273" y="609319"/>
            <a:ext cx="1076569" cy="279827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marL="0" indent="0" algn="ctr"/>
            <a:fld id="{9E6E9605-70B2-447F-B457-C42BFB77D471}" type="TxLink">
              <a:rPr lang="en-US" sz="1200" b="1" i="0" u="none" strike="noStrike" cap="none" spc="50">
                <a:ln w="0"/>
                <a:solidFill>
                  <a:schemeClr val="accent4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Arial Rounded MT Bold" panose="020F0704030504030204" pitchFamily="34" charset="0"/>
                <a:ea typeface="+mn-ea"/>
                <a:cs typeface="Calibri"/>
              </a:rPr>
              <a:pPr marL="0" indent="0" algn="ctr"/>
              <a:t> 2,753,500 </a:t>
            </a:fld>
            <a:endParaRPr lang="en-US" sz="1200" b="1" i="0" u="none" strike="noStrike" cap="none" spc="50">
              <a:ln w="0"/>
              <a:solidFill>
                <a:schemeClr val="accent4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1</xdr:col>
      <xdr:colOff>414980</xdr:colOff>
      <xdr:row>2</xdr:row>
      <xdr:rowOff>88900</xdr:rowOff>
    </xdr:from>
    <xdr:to>
      <xdr:col>3</xdr:col>
      <xdr:colOff>9525</xdr:colOff>
      <xdr:row>5</xdr:row>
      <xdr:rowOff>82550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89EDAAC7-1F9A-475D-955D-CFF49847D7C2}"/>
            </a:ext>
          </a:extLst>
        </xdr:cNvPr>
        <xdr:cNvGrpSpPr/>
      </xdr:nvGrpSpPr>
      <xdr:grpSpPr>
        <a:xfrm>
          <a:off x="3243905" y="555625"/>
          <a:ext cx="1175695" cy="565150"/>
          <a:chOff x="3129169" y="635000"/>
          <a:chExt cx="1245981" cy="546100"/>
        </a:xfrm>
      </xdr:grpSpPr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863EC218-DE87-4DB6-AC21-71F7A49BC69C}"/>
              </a:ext>
            </a:extLst>
          </xdr:cNvPr>
          <xdr:cNvSpPr/>
        </xdr:nvSpPr>
        <xdr:spPr>
          <a:xfrm>
            <a:off x="3136900" y="635000"/>
            <a:ext cx="1238250" cy="546100"/>
          </a:xfrm>
          <a:prstGeom prst="roundRect">
            <a:avLst>
              <a:gd name="adj" fmla="val 13179"/>
            </a:avLst>
          </a:prstGeom>
          <a:solidFill>
            <a:schemeClr val="bg1"/>
          </a:solidFill>
          <a:ln/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Support!A3">
        <xdr:nvSpPr>
          <xdr:cNvPr id="13" name="Rectangle 12">
            <a:extLst>
              <a:ext uri="{FF2B5EF4-FFF2-40B4-BE49-F238E27FC236}">
                <a16:creationId xmlns:a16="http://schemas.microsoft.com/office/drawing/2014/main" id="{A358534C-38F9-4617-B904-B177EFE709A8}"/>
              </a:ext>
            </a:extLst>
          </xdr:cNvPr>
          <xdr:cNvSpPr/>
        </xdr:nvSpPr>
        <xdr:spPr>
          <a:xfrm>
            <a:off x="3129169" y="909135"/>
            <a:ext cx="1202910" cy="25564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fld id="{DF057871-241B-4A66-B73A-334CF99065DD}" type="TxLink">
              <a:rPr lang="en-US" sz="1100" b="0" i="0" u="none" strike="noStrike" cap="none" spc="0">
                <a:ln w="0"/>
                <a:solidFill>
                  <a:srgbClr val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/>
                <a:ea typeface="+mn-ea"/>
                <a:cs typeface="Calibri"/>
              </a:rPr>
              <a:pPr marL="0" indent="0" algn="ctr"/>
              <a:t>Est. Asset Worth</a:t>
            </a:fld>
            <a:endParaRPr lang="en-US" sz="11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ea typeface="+mn-ea"/>
              <a:cs typeface="Calibri"/>
            </a:endParaRPr>
          </a:p>
        </xdr:txBody>
      </xdr:sp>
      <xdr:sp macro="" textlink="Support!B3">
        <xdr:nvSpPr>
          <xdr:cNvPr id="14" name="Rectangle 13">
            <a:extLst>
              <a:ext uri="{FF2B5EF4-FFF2-40B4-BE49-F238E27FC236}">
                <a16:creationId xmlns:a16="http://schemas.microsoft.com/office/drawing/2014/main" id="{62C6C5B6-6C67-4764-B43E-96A772810050}"/>
              </a:ext>
            </a:extLst>
          </xdr:cNvPr>
          <xdr:cNvSpPr/>
        </xdr:nvSpPr>
        <xdr:spPr>
          <a:xfrm>
            <a:off x="3155950" y="686885"/>
            <a:ext cx="1206500" cy="270395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marL="0" indent="0" algn="ctr"/>
            <a:fld id="{64A9C942-CED7-434F-93EA-B17E4F5B150A}" type="TxLink">
              <a:rPr lang="en-US" sz="1200" b="1" i="0" u="none" strike="noStrike" cap="none" spc="50">
                <a:ln w="0"/>
                <a:solidFill>
                  <a:schemeClr val="accent4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Arial Rounded MT Bold" panose="020F0704030504030204" pitchFamily="34" charset="0"/>
                <a:ea typeface="+mn-ea"/>
                <a:cs typeface="Calibri"/>
              </a:rPr>
              <a:pPr marL="0" indent="0" algn="ctr"/>
              <a:t> 1,044,300 </a:t>
            </a:fld>
            <a:endParaRPr lang="en-US" sz="1200" b="1" i="0" u="none" strike="noStrike" cap="none" spc="50">
              <a:ln w="0"/>
              <a:solidFill>
                <a:schemeClr val="accent4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3</xdr:col>
      <xdr:colOff>336550</xdr:colOff>
      <xdr:row>2</xdr:row>
      <xdr:rowOff>88900</xdr:rowOff>
    </xdr:from>
    <xdr:to>
      <xdr:col>4</xdr:col>
      <xdr:colOff>825500</xdr:colOff>
      <xdr:row>5</xdr:row>
      <xdr:rowOff>82550</xdr:rowOff>
    </xdr:to>
    <xdr:sp macro="[0]!Damaged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1F82FB65-4F4D-403E-8B85-0108F88D74C0}"/>
            </a:ext>
          </a:extLst>
        </xdr:cNvPr>
        <xdr:cNvSpPr/>
      </xdr:nvSpPr>
      <xdr:spPr>
        <a:xfrm>
          <a:off x="4746625" y="555625"/>
          <a:ext cx="1193800" cy="565150"/>
        </a:xfrm>
        <a:prstGeom prst="roundRect">
          <a:avLst>
            <a:gd name="adj" fmla="val 13179"/>
          </a:avLst>
        </a:prstGeom>
        <a:solidFill>
          <a:schemeClr val="bg1"/>
        </a:solidFill>
        <a:ln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373301</xdr:colOff>
      <xdr:row>3</xdr:row>
      <xdr:rowOff>182098</xdr:rowOff>
    </xdr:from>
    <xdr:to>
      <xdr:col>4</xdr:col>
      <xdr:colOff>739771</xdr:colOff>
      <xdr:row>5</xdr:row>
      <xdr:rowOff>65658</xdr:rowOff>
    </xdr:to>
    <xdr:sp macro="[0]!Damaged" textlink="Support!A4">
      <xdr:nvSpPr>
        <xdr:cNvPr id="16" name="Rectangle 15">
          <a:extLst>
            <a:ext uri="{FF2B5EF4-FFF2-40B4-BE49-F238E27FC236}">
              <a16:creationId xmlns:a16="http://schemas.microsoft.com/office/drawing/2014/main" id="{AB4996C3-947C-4407-BEF7-060740FBD237}"/>
            </a:ext>
          </a:extLst>
        </xdr:cNvPr>
        <xdr:cNvSpPr/>
      </xdr:nvSpPr>
      <xdr:spPr>
        <a:xfrm>
          <a:off x="4783376" y="839323"/>
          <a:ext cx="1071320" cy="26456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marL="0" indent="0" algn="ctr"/>
          <a:fld id="{76B4BE45-2D78-47A0-AC56-1A9942042753}" type="TxLink">
            <a:rPr lang="en-US" sz="11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ea typeface="+mn-ea"/>
              <a:cs typeface="Calibri"/>
            </a:rPr>
            <a:pPr marL="0" indent="0" algn="ctr"/>
            <a:t>Damaged Asset</a:t>
          </a:fld>
          <a:endParaRPr lang="en-US" sz="1100" b="0" i="0" u="none" strike="noStrike" cap="none" spc="0">
            <a:ln w="0"/>
            <a:solidFill>
              <a:srgbClr val="00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3</xdr:col>
      <xdr:colOff>354916</xdr:colOff>
      <xdr:row>2</xdr:row>
      <xdr:rowOff>142595</xdr:rowOff>
    </xdr:from>
    <xdr:to>
      <xdr:col>4</xdr:col>
      <xdr:colOff>813256</xdr:colOff>
      <xdr:row>4</xdr:row>
      <xdr:rowOff>41422</xdr:rowOff>
    </xdr:to>
    <xdr:sp macro="[0]!Damaged" textlink="Support!B4">
      <xdr:nvSpPr>
        <xdr:cNvPr id="17" name="Rectangle 16">
          <a:extLst>
            <a:ext uri="{FF2B5EF4-FFF2-40B4-BE49-F238E27FC236}">
              <a16:creationId xmlns:a16="http://schemas.microsoft.com/office/drawing/2014/main" id="{D391CB4D-2E65-4B92-8FD8-93FBA5283BCE}"/>
            </a:ext>
          </a:extLst>
        </xdr:cNvPr>
        <xdr:cNvSpPr/>
      </xdr:nvSpPr>
      <xdr:spPr>
        <a:xfrm>
          <a:off x="4764991" y="609320"/>
          <a:ext cx="1163190" cy="27982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F20CC7B2-9386-4B48-AB06-B965B86D75DE}" type="TxLink">
            <a:rPr lang="en-US" sz="1200" b="1" i="0" u="none" strike="noStrike" cap="none" spc="50">
              <a:ln w="0"/>
              <a:solidFill>
                <a:schemeClr val="accent4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  <a:ea typeface="+mn-ea"/>
              <a:cs typeface="Calibri"/>
            </a:rPr>
            <a:pPr marL="0" indent="0" algn="ctr"/>
            <a:t>111</a:t>
          </a:fld>
          <a:endParaRPr lang="en-US" sz="1200" b="1" i="0" u="none" strike="noStrike" cap="none" spc="50">
            <a:ln w="0"/>
            <a:solidFill>
              <a:schemeClr val="accent4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Rounded MT Bold" panose="020F0704030504030204" pitchFamily="34" charset="0"/>
            <a:ea typeface="+mn-ea"/>
            <a:cs typeface="Calibri"/>
          </a:endParaRPr>
        </a:p>
      </xdr:txBody>
    </xdr:sp>
    <xdr:clientData/>
  </xdr:twoCellAnchor>
  <xdr:twoCellAnchor editAs="absolute">
    <xdr:from>
      <xdr:col>5</xdr:col>
      <xdr:colOff>161927</xdr:colOff>
      <xdr:row>2</xdr:row>
      <xdr:rowOff>88900</xdr:rowOff>
    </xdr:from>
    <xdr:to>
      <xdr:col>6</xdr:col>
      <xdr:colOff>88902</xdr:colOff>
      <xdr:row>5</xdr:row>
      <xdr:rowOff>82550</xdr:rowOff>
    </xdr:to>
    <xdr:sp macro="[0]!Repairable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3BD4B950-D994-4681-983A-9D3BF4C0C580}"/>
            </a:ext>
          </a:extLst>
        </xdr:cNvPr>
        <xdr:cNvSpPr/>
      </xdr:nvSpPr>
      <xdr:spPr>
        <a:xfrm>
          <a:off x="6267452" y="555625"/>
          <a:ext cx="1184275" cy="565150"/>
        </a:xfrm>
        <a:prstGeom prst="roundRect">
          <a:avLst>
            <a:gd name="adj" fmla="val 13179"/>
          </a:avLst>
        </a:prstGeom>
        <a:solidFill>
          <a:schemeClr val="bg1"/>
        </a:solidFill>
        <a:ln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159615</xdr:colOff>
      <xdr:row>3</xdr:row>
      <xdr:rowOff>182098</xdr:rowOff>
    </xdr:from>
    <xdr:to>
      <xdr:col>6</xdr:col>
      <xdr:colOff>42628</xdr:colOff>
      <xdr:row>5</xdr:row>
      <xdr:rowOff>65658</xdr:rowOff>
    </xdr:to>
    <xdr:sp macro="[0]!Repairable" textlink="Support!A5">
      <xdr:nvSpPr>
        <xdr:cNvPr id="19" name="Rectangle 18">
          <a:extLst>
            <a:ext uri="{FF2B5EF4-FFF2-40B4-BE49-F238E27FC236}">
              <a16:creationId xmlns:a16="http://schemas.microsoft.com/office/drawing/2014/main" id="{6600BB10-6F95-4B54-A2BD-D9EBEB54D362}"/>
            </a:ext>
          </a:extLst>
        </xdr:cNvPr>
        <xdr:cNvSpPr/>
      </xdr:nvSpPr>
      <xdr:spPr>
        <a:xfrm>
          <a:off x="6265140" y="839323"/>
          <a:ext cx="1140313" cy="26456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marL="0" indent="0" algn="ctr"/>
          <a:fld id="{ADF82D42-3A73-42BE-A179-D74D94BDC620}" type="TxLink">
            <a:rPr lang="en-US" sz="11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ea typeface="+mn-ea"/>
              <a:cs typeface="Calibri"/>
            </a:rPr>
            <a:pPr marL="0" indent="0" algn="ctr"/>
            <a:t>Repairable Asset</a:t>
          </a:fld>
          <a:endParaRPr lang="en-US" sz="1100" b="0" i="0" u="none" strike="noStrike" cap="none" spc="0">
            <a:ln w="0"/>
            <a:solidFill>
              <a:srgbClr val="00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5</xdr:col>
      <xdr:colOff>180146</xdr:colOff>
      <xdr:row>2</xdr:row>
      <xdr:rowOff>142595</xdr:rowOff>
    </xdr:from>
    <xdr:to>
      <xdr:col>6</xdr:col>
      <xdr:colOff>76755</xdr:colOff>
      <xdr:row>4</xdr:row>
      <xdr:rowOff>41422</xdr:rowOff>
    </xdr:to>
    <xdr:sp macro="[0]!Repairable" textlink="Support!B5">
      <xdr:nvSpPr>
        <xdr:cNvPr id="20" name="Rectangle 19">
          <a:extLst>
            <a:ext uri="{FF2B5EF4-FFF2-40B4-BE49-F238E27FC236}">
              <a16:creationId xmlns:a16="http://schemas.microsoft.com/office/drawing/2014/main" id="{21104009-1AE1-4551-8B07-2C5D00ACE9B0}"/>
            </a:ext>
          </a:extLst>
        </xdr:cNvPr>
        <xdr:cNvSpPr/>
      </xdr:nvSpPr>
      <xdr:spPr>
        <a:xfrm>
          <a:off x="6285671" y="609320"/>
          <a:ext cx="1153909" cy="27982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D590E5AC-8DBD-4B16-9478-80866AFC9E0F}" type="TxLink">
            <a:rPr lang="en-US" sz="1200" b="1" i="0" u="none" strike="noStrike" cap="none" spc="50">
              <a:ln w="0"/>
              <a:solidFill>
                <a:schemeClr val="accent4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  <a:ea typeface="+mn-ea"/>
              <a:cs typeface="Calibri"/>
            </a:rPr>
            <a:pPr marL="0" indent="0" algn="ctr"/>
            <a:t>22</a:t>
          </a:fld>
          <a:endParaRPr lang="en-US" sz="1200" b="1" i="0" u="none" strike="noStrike" cap="none" spc="50">
            <a:ln w="0"/>
            <a:solidFill>
              <a:schemeClr val="accent4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Rounded MT Bold" panose="020F0704030504030204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9</xdr:col>
      <xdr:colOff>44450</xdr:colOff>
      <xdr:row>2</xdr:row>
      <xdr:rowOff>142875</xdr:rowOff>
    </xdr:from>
    <xdr:to>
      <xdr:col>10</xdr:col>
      <xdr:colOff>533400</xdr:colOff>
      <xdr:row>5</xdr:row>
      <xdr:rowOff>9525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7D1AFF3B-05D4-E3DE-FADE-869BBD8CD935}"/>
            </a:ext>
          </a:extLst>
        </xdr:cNvPr>
        <xdr:cNvGrpSpPr/>
      </xdr:nvGrpSpPr>
      <xdr:grpSpPr>
        <a:xfrm>
          <a:off x="10474325" y="609600"/>
          <a:ext cx="1498600" cy="438150"/>
          <a:chOff x="10645775" y="609600"/>
          <a:chExt cx="1431925" cy="438150"/>
        </a:xfrm>
      </xdr:grpSpPr>
      <xdr:sp macro="[0]!Show_Search_Frm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B060C749-15A6-4CBF-AE11-F222F019ECA8}"/>
              </a:ext>
            </a:extLst>
          </xdr:cNvPr>
          <xdr:cNvSpPr/>
        </xdr:nvSpPr>
        <xdr:spPr>
          <a:xfrm>
            <a:off x="10645775" y="609600"/>
            <a:ext cx="1431925" cy="438150"/>
          </a:xfrm>
          <a:prstGeom prst="roundRect">
            <a:avLst/>
          </a:prstGeom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>
                <a:latin typeface="Arial Rounded MT Bold" panose="020F0704030504030204" pitchFamily="34" charset="0"/>
              </a:rPr>
              <a:t>Search &amp; Add</a:t>
            </a:r>
          </a:p>
        </xdr:txBody>
      </xdr:sp>
      <xdr:pic macro="[0]!Show_Search_Frm">
        <xdr:nvPicPr>
          <xdr:cNvPr id="27" name="Graphic 26" descr="Magnifying glass">
            <a:extLst>
              <a:ext uri="{FF2B5EF4-FFF2-40B4-BE49-F238E27FC236}">
                <a16:creationId xmlns:a16="http://schemas.microsoft.com/office/drawing/2014/main" id="{1C576116-64A6-456B-AC85-4724B20796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55115" y="709180"/>
            <a:ext cx="388625" cy="272184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777874</xdr:colOff>
      <xdr:row>2</xdr:row>
      <xdr:rowOff>155575</xdr:rowOff>
    </xdr:from>
    <xdr:to>
      <xdr:col>8</xdr:col>
      <xdr:colOff>704850</xdr:colOff>
      <xdr:row>5</xdr:row>
      <xdr:rowOff>22225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6A484A45-4738-6126-69BF-E6079DF9DD2E}"/>
            </a:ext>
          </a:extLst>
        </xdr:cNvPr>
        <xdr:cNvGrpSpPr/>
      </xdr:nvGrpSpPr>
      <xdr:grpSpPr>
        <a:xfrm>
          <a:off x="9255124" y="622300"/>
          <a:ext cx="984251" cy="438150"/>
          <a:chOff x="9150349" y="622300"/>
          <a:chExt cx="984251" cy="438150"/>
        </a:xfrm>
      </xdr:grpSpPr>
      <xdr:sp macro="[0]!Show_Update_Inventory_Frm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BAF2F186-5D5B-463E-87BB-4A212A534327}"/>
              </a:ext>
            </a:extLst>
          </xdr:cNvPr>
          <xdr:cNvSpPr/>
        </xdr:nvSpPr>
        <xdr:spPr>
          <a:xfrm>
            <a:off x="9150349" y="622300"/>
            <a:ext cx="984251" cy="438150"/>
          </a:xfrm>
          <a:prstGeom prst="roundRect">
            <a:avLst/>
          </a:prstGeom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>
                <a:latin typeface="Arial Rounded MT Bold" panose="020F0704030504030204" pitchFamily="34" charset="0"/>
              </a:rPr>
              <a:t>Update</a:t>
            </a:r>
          </a:p>
        </xdr:txBody>
      </xdr:sp>
      <xdr:pic macro="[0]!Show_Update_Inventory_Frm">
        <xdr:nvPicPr>
          <xdr:cNvPr id="33" name="Graphic 32" descr="Add">
            <a:extLst>
              <a:ext uri="{FF2B5EF4-FFF2-40B4-BE49-F238E27FC236}">
                <a16:creationId xmlns:a16="http://schemas.microsoft.com/office/drawing/2014/main" id="{7C0F3152-10CB-4FB5-8B58-DE3E8B6AB8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204757" y="675409"/>
            <a:ext cx="308305" cy="33857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364262</xdr:colOff>
      <xdr:row>2</xdr:row>
      <xdr:rowOff>95250</xdr:rowOff>
    </xdr:from>
    <xdr:to>
      <xdr:col>7</xdr:col>
      <xdr:colOff>434112</xdr:colOff>
      <xdr:row>5</xdr:row>
      <xdr:rowOff>88900</xdr:rowOff>
    </xdr:to>
    <xdr:sp macro="[0]!Usable" textlink="">
      <xdr:nvSpPr>
        <xdr:cNvPr id="70" name="Rectangle: Rounded Corners 69">
          <a:extLst>
            <a:ext uri="{FF2B5EF4-FFF2-40B4-BE49-F238E27FC236}">
              <a16:creationId xmlns:a16="http://schemas.microsoft.com/office/drawing/2014/main" id="{88CD24A2-9F8C-F602-888C-BC1570363398}"/>
            </a:ext>
          </a:extLst>
        </xdr:cNvPr>
        <xdr:cNvSpPr/>
      </xdr:nvSpPr>
      <xdr:spPr>
        <a:xfrm>
          <a:off x="7727087" y="561975"/>
          <a:ext cx="1184275" cy="565150"/>
        </a:xfrm>
        <a:prstGeom prst="roundRect">
          <a:avLst>
            <a:gd name="adj" fmla="val 13179"/>
          </a:avLst>
        </a:prstGeom>
        <a:solidFill>
          <a:schemeClr val="bg1"/>
        </a:solidFill>
        <a:ln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6</xdr:col>
      <xdr:colOff>474160</xdr:colOff>
      <xdr:row>3</xdr:row>
      <xdr:rowOff>188448</xdr:rowOff>
    </xdr:from>
    <xdr:to>
      <xdr:col>7</xdr:col>
      <xdr:colOff>275627</xdr:colOff>
      <xdr:row>5</xdr:row>
      <xdr:rowOff>72008</xdr:rowOff>
    </xdr:to>
    <xdr:sp macro="[0]!Usable" textlink="Support!A6">
      <xdr:nvSpPr>
        <xdr:cNvPr id="71" name="Rectangle 70">
          <a:extLst>
            <a:ext uri="{FF2B5EF4-FFF2-40B4-BE49-F238E27FC236}">
              <a16:creationId xmlns:a16="http://schemas.microsoft.com/office/drawing/2014/main" id="{3F6FC9A2-9F1B-2155-5C1C-3604913A6E4A}"/>
            </a:ext>
          </a:extLst>
        </xdr:cNvPr>
        <xdr:cNvSpPr/>
      </xdr:nvSpPr>
      <xdr:spPr>
        <a:xfrm>
          <a:off x="7836985" y="845673"/>
          <a:ext cx="915892" cy="26456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marL="0" indent="0" algn="ctr"/>
          <a:fld id="{2B4B45C8-A543-4597-B4F3-D9A55330A613}" type="TxLink">
            <a:rPr lang="en-US" sz="11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ea typeface="+mn-ea"/>
              <a:cs typeface="Calibri"/>
            </a:rPr>
            <a:pPr marL="0" indent="0" algn="ctr"/>
            <a:t>Usable Asset</a:t>
          </a:fld>
          <a:endParaRPr lang="en-US" sz="1100" b="0" i="0" u="none" strike="noStrike" cap="none" spc="0">
            <a:ln w="0"/>
            <a:solidFill>
              <a:srgbClr val="00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6</xdr:col>
      <xdr:colOff>382481</xdr:colOff>
      <xdr:row>2</xdr:row>
      <xdr:rowOff>148945</xdr:rowOff>
    </xdr:from>
    <xdr:to>
      <xdr:col>7</xdr:col>
      <xdr:colOff>421965</xdr:colOff>
      <xdr:row>4</xdr:row>
      <xdr:rowOff>38340</xdr:rowOff>
    </xdr:to>
    <xdr:sp macro="[0]!Usable" textlink="Support!B6">
      <xdr:nvSpPr>
        <xdr:cNvPr id="72" name="Rectangle 71">
          <a:extLst>
            <a:ext uri="{FF2B5EF4-FFF2-40B4-BE49-F238E27FC236}">
              <a16:creationId xmlns:a16="http://schemas.microsoft.com/office/drawing/2014/main" id="{EFBE657B-06E8-05B4-5926-DC03BFD5FC72}"/>
            </a:ext>
          </a:extLst>
        </xdr:cNvPr>
        <xdr:cNvSpPr/>
      </xdr:nvSpPr>
      <xdr:spPr>
        <a:xfrm>
          <a:off x="7745306" y="615670"/>
          <a:ext cx="1153909" cy="27039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1BE4E8FB-E38D-418D-9589-DAB6A842F8F5}" type="TxLink">
            <a:rPr lang="en-US" sz="1200" b="1" i="0" u="none" strike="noStrike" cap="none" spc="50">
              <a:ln w="0"/>
              <a:solidFill>
                <a:schemeClr val="accent4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  <a:ea typeface="+mn-ea"/>
              <a:cs typeface="Calibri"/>
            </a:rPr>
            <a:pPr marL="0" indent="0" algn="ctr"/>
            <a:t>187</a:t>
          </a:fld>
          <a:endParaRPr lang="en-US" sz="1200" b="1" i="0" u="none" strike="noStrike" cap="none" spc="50">
            <a:ln w="0"/>
            <a:solidFill>
              <a:schemeClr val="accent4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Rounded MT Bold" panose="020F0704030504030204" pitchFamily="34" charset="0"/>
            <a:ea typeface="+mn-ea"/>
            <a:cs typeface="Calibri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468000</xdr:colOff>
      <xdr:row>2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63E583-6D10-EECD-3BC5-9C4069CFE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0"/>
          <a:ext cx="468000" cy="4667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8378A-4758-4389-AE69-22893DF562E1}">
  <sheetPr codeName="Sheet1"/>
  <dimension ref="A1:R27"/>
  <sheetViews>
    <sheetView showGridLines="0" workbookViewId="0">
      <pane ySplit="7" topLeftCell="A8" activePane="bottomLeft" state="frozen"/>
      <selection pane="bottomLeft" activeCell="E14" sqref="E14"/>
    </sheetView>
  </sheetViews>
  <sheetFormatPr defaultRowHeight="15" x14ac:dyDescent="0.25"/>
  <cols>
    <col min="1" max="1" width="42.42578125" customWidth="1"/>
    <col min="2" max="2" width="12.140625" bestFit="1" customWidth="1"/>
    <col min="3" max="3" width="11.5703125" customWidth="1"/>
    <col min="4" max="4" width="10.5703125" customWidth="1"/>
    <col min="5" max="5" width="14.85546875" customWidth="1"/>
    <col min="6" max="6" width="18.85546875" customWidth="1"/>
    <col min="7" max="7" width="16.7109375" customWidth="1"/>
    <col min="8" max="8" width="15.85546875" customWidth="1"/>
    <col min="9" max="9" width="13.42578125" customWidth="1"/>
    <col min="10" max="10" width="15.140625" customWidth="1"/>
    <col min="11" max="11" width="16.42578125" customWidth="1"/>
    <col min="12" max="12" width="8.85546875" hidden="1" customWidth="1"/>
    <col min="13" max="13" width="1" customWidth="1"/>
  </cols>
  <sheetData>
    <row r="1" spans="1:18" ht="14.45" customHeight="1" x14ac:dyDescent="0.25">
      <c r="A1" s="21" t="s">
        <v>122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10"/>
    </row>
    <row r="2" spans="1:18" ht="22.5" customHeight="1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10"/>
    </row>
    <row r="3" spans="1:18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3"/>
    </row>
    <row r="4" spans="1:18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3"/>
    </row>
    <row r="5" spans="1:18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  <c r="K5" s="23"/>
    </row>
    <row r="6" spans="1:18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  <c r="K6" s="23"/>
    </row>
    <row r="7" spans="1:18" x14ac:dyDescent="0.25">
      <c r="A7" s="14" t="s">
        <v>0</v>
      </c>
      <c r="B7" s="14" t="s">
        <v>5</v>
      </c>
      <c r="C7" s="14" t="s">
        <v>6</v>
      </c>
      <c r="D7" s="14" t="s">
        <v>7</v>
      </c>
      <c r="E7" s="14" t="s">
        <v>4</v>
      </c>
      <c r="F7" s="14" t="s">
        <v>67</v>
      </c>
      <c r="G7" s="14" t="s">
        <v>71</v>
      </c>
      <c r="H7" s="14" t="s">
        <v>64</v>
      </c>
      <c r="I7" s="14" t="s">
        <v>65</v>
      </c>
      <c r="J7" s="14" t="s">
        <v>66</v>
      </c>
      <c r="K7" s="14" t="s">
        <v>13</v>
      </c>
      <c r="L7" s="6" t="s">
        <v>115</v>
      </c>
      <c r="M7" s="6"/>
      <c r="N7" s="6"/>
      <c r="O7" s="6"/>
      <c r="P7" s="6"/>
      <c r="Q7" s="6"/>
      <c r="R7" s="6"/>
    </row>
    <row r="8" spans="1:18" x14ac:dyDescent="0.25">
      <c r="A8" s="1" t="s">
        <v>23</v>
      </c>
      <c r="B8" s="8">
        <v>1</v>
      </c>
      <c r="C8" s="8">
        <v>0</v>
      </c>
      <c r="D8" s="8">
        <v>0</v>
      </c>
      <c r="E8" s="8">
        <v>1</v>
      </c>
      <c r="F8" s="8">
        <v>47000</v>
      </c>
      <c r="G8" s="9">
        <v>7000</v>
      </c>
      <c r="H8" s="8">
        <v>0</v>
      </c>
      <c r="I8" s="8">
        <v>1</v>
      </c>
      <c r="J8" s="8">
        <v>0</v>
      </c>
      <c r="K8" s="8" t="s">
        <v>21</v>
      </c>
      <c r="L8" s="6" t="s">
        <v>25</v>
      </c>
    </row>
    <row r="9" spans="1:18" x14ac:dyDescent="0.25">
      <c r="A9" s="1" t="s">
        <v>31</v>
      </c>
      <c r="B9" s="8">
        <v>2</v>
      </c>
      <c r="C9" s="8">
        <v>0</v>
      </c>
      <c r="D9" s="8">
        <v>0</v>
      </c>
      <c r="E9" s="8">
        <v>2</v>
      </c>
      <c r="F9" s="8">
        <v>80000</v>
      </c>
      <c r="G9" s="9">
        <v>20000</v>
      </c>
      <c r="H9" s="8">
        <v>0</v>
      </c>
      <c r="I9" s="8">
        <v>2</v>
      </c>
      <c r="J9" s="8">
        <v>0</v>
      </c>
      <c r="K9" s="8" t="s">
        <v>21</v>
      </c>
      <c r="L9" s="6" t="s">
        <v>25</v>
      </c>
    </row>
    <row r="10" spans="1:18" x14ac:dyDescent="0.25">
      <c r="A10" s="1" t="s">
        <v>32</v>
      </c>
      <c r="B10" s="8">
        <v>1</v>
      </c>
      <c r="C10" s="8">
        <v>0</v>
      </c>
      <c r="D10" s="8">
        <v>0</v>
      </c>
      <c r="E10" s="8">
        <v>1</v>
      </c>
      <c r="F10" s="8">
        <v>30000</v>
      </c>
      <c r="G10" s="9">
        <v>10000</v>
      </c>
      <c r="H10" s="8">
        <v>0</v>
      </c>
      <c r="I10" s="8">
        <v>1</v>
      </c>
      <c r="J10" s="8">
        <v>0</v>
      </c>
      <c r="K10" s="8" t="s">
        <v>21</v>
      </c>
      <c r="L10" s="6" t="s">
        <v>25</v>
      </c>
    </row>
    <row r="11" spans="1:18" x14ac:dyDescent="0.25">
      <c r="A11" s="1" t="s">
        <v>37</v>
      </c>
      <c r="B11" s="8">
        <v>3</v>
      </c>
      <c r="C11" s="8">
        <v>0</v>
      </c>
      <c r="D11" s="8">
        <v>0</v>
      </c>
      <c r="E11" s="8">
        <v>3</v>
      </c>
      <c r="F11" s="8">
        <v>15000</v>
      </c>
      <c r="G11" s="9">
        <v>300</v>
      </c>
      <c r="H11" s="8">
        <v>0</v>
      </c>
      <c r="I11" s="8">
        <v>3</v>
      </c>
      <c r="J11" s="8">
        <v>0</v>
      </c>
      <c r="K11" s="8" t="s">
        <v>21</v>
      </c>
      <c r="L11" s="6" t="s">
        <v>25</v>
      </c>
    </row>
    <row r="12" spans="1:18" x14ac:dyDescent="0.25">
      <c r="A12" s="1" t="s">
        <v>40</v>
      </c>
      <c r="B12" s="8">
        <v>6</v>
      </c>
      <c r="C12" s="8">
        <v>0</v>
      </c>
      <c r="D12" s="8">
        <v>0</v>
      </c>
      <c r="E12" s="8">
        <v>6</v>
      </c>
      <c r="F12" s="8">
        <v>150000</v>
      </c>
      <c r="G12" s="9">
        <v>15000</v>
      </c>
      <c r="H12" s="8">
        <v>0</v>
      </c>
      <c r="I12" s="8">
        <v>6</v>
      </c>
      <c r="J12" s="8">
        <v>0</v>
      </c>
      <c r="K12" s="8" t="s">
        <v>41</v>
      </c>
      <c r="L12" s="6" t="s">
        <v>25</v>
      </c>
    </row>
    <row r="13" spans="1:18" x14ac:dyDescent="0.25">
      <c r="A13" s="1" t="s">
        <v>43</v>
      </c>
      <c r="B13" s="8">
        <v>6</v>
      </c>
      <c r="C13" s="8">
        <v>0</v>
      </c>
      <c r="D13" s="8">
        <v>0</v>
      </c>
      <c r="E13" s="8">
        <v>6</v>
      </c>
      <c r="F13" s="8">
        <v>24000</v>
      </c>
      <c r="G13" s="9">
        <v>600</v>
      </c>
      <c r="H13" s="8">
        <v>0</v>
      </c>
      <c r="I13" s="8">
        <v>6</v>
      </c>
      <c r="J13" s="8">
        <v>0</v>
      </c>
      <c r="K13" s="8" t="s">
        <v>41</v>
      </c>
      <c r="L13" s="6" t="s">
        <v>25</v>
      </c>
    </row>
    <row r="14" spans="1:18" x14ac:dyDescent="0.25">
      <c r="A14" s="1" t="s">
        <v>47</v>
      </c>
      <c r="B14" s="8">
        <v>7</v>
      </c>
      <c r="C14" s="8">
        <v>0</v>
      </c>
      <c r="D14" s="8">
        <v>0</v>
      </c>
      <c r="E14" s="8">
        <v>7</v>
      </c>
      <c r="F14" s="8">
        <v>17500</v>
      </c>
      <c r="G14" s="9">
        <v>700</v>
      </c>
      <c r="H14" s="8">
        <v>0</v>
      </c>
      <c r="I14" s="8">
        <v>7</v>
      </c>
      <c r="J14" s="8">
        <v>0</v>
      </c>
      <c r="K14" s="8" t="s">
        <v>21</v>
      </c>
      <c r="L14" s="6" t="s">
        <v>25</v>
      </c>
    </row>
    <row r="15" spans="1:18" x14ac:dyDescent="0.25">
      <c r="A15" s="1" t="s">
        <v>49</v>
      </c>
      <c r="B15" s="8">
        <v>3</v>
      </c>
      <c r="C15" s="8">
        <v>0</v>
      </c>
      <c r="D15" s="8">
        <v>0</v>
      </c>
      <c r="E15" s="8">
        <v>3</v>
      </c>
      <c r="F15" s="8">
        <v>15000</v>
      </c>
      <c r="G15" s="9">
        <v>1500</v>
      </c>
      <c r="H15" s="8">
        <v>0</v>
      </c>
      <c r="I15" s="8">
        <v>3</v>
      </c>
      <c r="J15" s="8">
        <v>0</v>
      </c>
      <c r="K15" s="8" t="s">
        <v>41</v>
      </c>
      <c r="L15" s="6" t="s">
        <v>25</v>
      </c>
    </row>
    <row r="16" spans="1:18" x14ac:dyDescent="0.25">
      <c r="A16" s="1" t="s">
        <v>50</v>
      </c>
      <c r="B16" s="8">
        <v>18</v>
      </c>
      <c r="C16" s="8">
        <v>0</v>
      </c>
      <c r="D16" s="8">
        <v>0</v>
      </c>
      <c r="E16" s="8">
        <v>18</v>
      </c>
      <c r="F16" s="8">
        <v>54000</v>
      </c>
      <c r="G16" s="9">
        <v>9000</v>
      </c>
      <c r="H16" s="8">
        <v>2</v>
      </c>
      <c r="I16" s="8">
        <v>3</v>
      </c>
      <c r="J16" s="8">
        <v>13</v>
      </c>
      <c r="K16" s="8" t="s">
        <v>41</v>
      </c>
      <c r="L16" s="6" t="s">
        <v>25</v>
      </c>
    </row>
    <row r="17" spans="1:12" x14ac:dyDescent="0.25">
      <c r="A17" s="1" t="s">
        <v>96</v>
      </c>
      <c r="B17" s="8">
        <v>3</v>
      </c>
      <c r="C17" s="8">
        <v>0</v>
      </c>
      <c r="D17" s="8">
        <v>0</v>
      </c>
      <c r="E17" s="8">
        <v>3</v>
      </c>
      <c r="F17" s="8">
        <v>195000</v>
      </c>
      <c r="G17" s="9">
        <v>105000</v>
      </c>
      <c r="H17" s="8">
        <v>0</v>
      </c>
      <c r="I17" s="8">
        <v>2</v>
      </c>
      <c r="J17" s="8">
        <v>0</v>
      </c>
      <c r="K17" s="8" t="s">
        <v>41</v>
      </c>
      <c r="L17" s="6" t="s">
        <v>25</v>
      </c>
    </row>
    <row r="18" spans="1:12" x14ac:dyDescent="0.25">
      <c r="A18" s="1" t="s">
        <v>150</v>
      </c>
      <c r="B18" s="8">
        <v>19</v>
      </c>
      <c r="C18" s="8">
        <v>0</v>
      </c>
      <c r="D18" s="8">
        <v>0</v>
      </c>
      <c r="E18" s="8">
        <v>19</v>
      </c>
      <c r="F18" s="8">
        <v>190000</v>
      </c>
      <c r="G18" s="9">
        <v>95000</v>
      </c>
      <c r="H18" s="8">
        <v>0</v>
      </c>
      <c r="I18" s="8">
        <v>19</v>
      </c>
      <c r="J18" s="8">
        <v>0</v>
      </c>
      <c r="K18" s="8" t="s">
        <v>41</v>
      </c>
      <c r="L18" s="6" t="s">
        <v>25</v>
      </c>
    </row>
    <row r="19" spans="1:12" x14ac:dyDescent="0.25">
      <c r="A19" s="1" t="s">
        <v>97</v>
      </c>
      <c r="B19" s="8">
        <v>33</v>
      </c>
      <c r="C19" s="8">
        <v>0</v>
      </c>
      <c r="D19" s="8">
        <v>0</v>
      </c>
      <c r="E19" s="8">
        <v>33</v>
      </c>
      <c r="F19" s="8">
        <v>660000</v>
      </c>
      <c r="G19" s="9">
        <v>231000</v>
      </c>
      <c r="H19" s="8">
        <v>5</v>
      </c>
      <c r="I19" s="8">
        <v>28</v>
      </c>
      <c r="J19" s="8">
        <v>0</v>
      </c>
      <c r="K19" s="8" t="s">
        <v>41</v>
      </c>
      <c r="L19" s="6" t="s">
        <v>58</v>
      </c>
    </row>
    <row r="20" spans="1:12" x14ac:dyDescent="0.25">
      <c r="A20" s="1" t="s">
        <v>98</v>
      </c>
      <c r="B20" s="8">
        <v>4</v>
      </c>
      <c r="C20" s="8">
        <v>0</v>
      </c>
      <c r="D20" s="8">
        <v>0</v>
      </c>
      <c r="E20" s="8">
        <v>4</v>
      </c>
      <c r="F20" s="8">
        <v>10000</v>
      </c>
      <c r="G20" s="9">
        <v>400</v>
      </c>
      <c r="H20" s="8">
        <v>0</v>
      </c>
      <c r="I20" s="8">
        <v>4</v>
      </c>
      <c r="J20" s="8">
        <v>0</v>
      </c>
      <c r="K20" s="8" t="s">
        <v>41</v>
      </c>
      <c r="L20" s="6" t="s">
        <v>25</v>
      </c>
    </row>
    <row r="21" spans="1:12" x14ac:dyDescent="0.25">
      <c r="A21" s="1" t="s">
        <v>153</v>
      </c>
      <c r="B21" s="8">
        <v>6</v>
      </c>
      <c r="C21" s="8">
        <v>0</v>
      </c>
      <c r="D21" s="8">
        <v>0</v>
      </c>
      <c r="E21" s="8">
        <v>6</v>
      </c>
      <c r="F21" s="8">
        <v>24000</v>
      </c>
      <c r="G21" s="9">
        <v>9000</v>
      </c>
      <c r="H21" s="8">
        <v>2</v>
      </c>
      <c r="I21" s="8">
        <v>4</v>
      </c>
      <c r="J21" s="8">
        <v>0</v>
      </c>
      <c r="K21" s="8" t="s">
        <v>41</v>
      </c>
      <c r="L21" s="6" t="s">
        <v>58</v>
      </c>
    </row>
    <row r="22" spans="1:12" x14ac:dyDescent="0.25">
      <c r="A22" s="1" t="s">
        <v>100</v>
      </c>
      <c r="B22" s="8">
        <v>10</v>
      </c>
      <c r="C22" s="8">
        <v>0</v>
      </c>
      <c r="D22" s="8">
        <v>0</v>
      </c>
      <c r="E22" s="8">
        <v>10</v>
      </c>
      <c r="F22" s="8">
        <v>35000</v>
      </c>
      <c r="G22" s="9">
        <v>5000</v>
      </c>
      <c r="H22" s="8">
        <v>7</v>
      </c>
      <c r="I22" s="8">
        <v>4</v>
      </c>
      <c r="J22" s="8">
        <v>0</v>
      </c>
      <c r="K22" s="8" t="s">
        <v>41</v>
      </c>
      <c r="L22" s="6" t="s">
        <v>58</v>
      </c>
    </row>
    <row r="23" spans="1:12" x14ac:dyDescent="0.25">
      <c r="A23" s="1" t="s">
        <v>103</v>
      </c>
      <c r="B23" s="8">
        <v>1</v>
      </c>
      <c r="C23" s="8">
        <v>0</v>
      </c>
      <c r="D23" s="8">
        <v>0</v>
      </c>
      <c r="E23" s="8">
        <v>1</v>
      </c>
      <c r="F23" s="8">
        <v>1500</v>
      </c>
      <c r="G23" s="9">
        <v>100</v>
      </c>
      <c r="H23" s="8">
        <v>0</v>
      </c>
      <c r="I23" s="8">
        <v>1</v>
      </c>
      <c r="J23" s="8">
        <v>0</v>
      </c>
      <c r="K23" s="8" t="s">
        <v>41</v>
      </c>
      <c r="L23" s="6" t="s">
        <v>25</v>
      </c>
    </row>
    <row r="24" spans="1:12" x14ac:dyDescent="0.25">
      <c r="A24" s="1" t="s">
        <v>104</v>
      </c>
      <c r="B24" s="8">
        <v>2</v>
      </c>
      <c r="C24" s="8">
        <v>0</v>
      </c>
      <c r="D24" s="8">
        <v>0</v>
      </c>
      <c r="E24" s="8">
        <v>2</v>
      </c>
      <c r="F24" s="8">
        <v>4000</v>
      </c>
      <c r="G24" s="9">
        <v>1400</v>
      </c>
      <c r="H24" s="8">
        <v>1</v>
      </c>
      <c r="I24" s="8">
        <v>1</v>
      </c>
      <c r="J24" s="8">
        <v>0</v>
      </c>
      <c r="K24" s="8" t="s">
        <v>41</v>
      </c>
      <c r="L24" s="6" t="s">
        <v>58</v>
      </c>
    </row>
    <row r="25" spans="1:12" x14ac:dyDescent="0.25">
      <c r="A25" s="1" t="s">
        <v>106</v>
      </c>
      <c r="B25" s="8">
        <v>6</v>
      </c>
      <c r="C25" s="8">
        <v>0</v>
      </c>
      <c r="D25" s="8">
        <v>0</v>
      </c>
      <c r="E25" s="8">
        <v>6</v>
      </c>
      <c r="F25" s="8">
        <v>90000</v>
      </c>
      <c r="G25" s="9">
        <v>96000</v>
      </c>
      <c r="H25" s="8">
        <v>1</v>
      </c>
      <c r="I25" s="8">
        <v>5</v>
      </c>
      <c r="J25" s="8">
        <v>0</v>
      </c>
      <c r="K25" s="8" t="s">
        <v>41</v>
      </c>
      <c r="L25" s="6" t="s">
        <v>58</v>
      </c>
    </row>
    <row r="26" spans="1:12" x14ac:dyDescent="0.25">
      <c r="A26" s="1" t="s">
        <v>108</v>
      </c>
      <c r="B26" s="8">
        <v>7</v>
      </c>
      <c r="C26" s="8">
        <v>0</v>
      </c>
      <c r="D26" s="8">
        <v>0</v>
      </c>
      <c r="E26" s="8">
        <v>7</v>
      </c>
      <c r="F26" s="8">
        <v>10500</v>
      </c>
      <c r="G26" s="9">
        <v>2100</v>
      </c>
      <c r="H26" s="8">
        <v>0</v>
      </c>
      <c r="I26" s="8">
        <v>7</v>
      </c>
      <c r="J26" s="8">
        <v>0</v>
      </c>
      <c r="K26" s="8" t="s">
        <v>41</v>
      </c>
      <c r="L26" s="6" t="s">
        <v>25</v>
      </c>
    </row>
    <row r="27" spans="1:12" x14ac:dyDescent="0.25">
      <c r="A27" s="16" t="s">
        <v>113</v>
      </c>
      <c r="B27" s="8">
        <v>4</v>
      </c>
      <c r="C27" s="8">
        <v>0</v>
      </c>
      <c r="D27" s="8">
        <v>0</v>
      </c>
      <c r="E27" s="8">
        <v>4</v>
      </c>
      <c r="F27" s="8">
        <v>260000</v>
      </c>
      <c r="G27" s="9">
        <v>140000</v>
      </c>
      <c r="H27" s="8">
        <v>1</v>
      </c>
      <c r="I27" s="8">
        <v>4</v>
      </c>
      <c r="J27" s="8">
        <v>0</v>
      </c>
      <c r="K27" s="8" t="s">
        <v>41</v>
      </c>
      <c r="L27" s="6" t="s">
        <v>58</v>
      </c>
    </row>
  </sheetData>
  <mergeCells count="2">
    <mergeCell ref="A1:K2"/>
    <mergeCell ref="A3:K6"/>
  </mergeCells>
  <conditionalFormatting sqref="A8:A27">
    <cfRule type="duplicateValues" dxfId="3" priority="2"/>
  </conditionalFormatting>
  <conditionalFormatting sqref="B8:L27">
    <cfRule type="expression" dxfId="2" priority="1">
      <formula>$A8=""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578D0-2530-4AAC-BCFB-3A4C3B1DD9A5}">
  <sheetPr codeName="Sheet6"/>
  <dimension ref="A1:L500"/>
  <sheetViews>
    <sheetView showGridLines="0" workbookViewId="0">
      <pane ySplit="1" topLeftCell="A3" activePane="bottomLeft" state="frozen"/>
      <selection activeCell="F5" sqref="F5"/>
      <selection pane="bottomLeft" activeCell="F15" sqref="F15"/>
    </sheetView>
  </sheetViews>
  <sheetFormatPr defaultColWidth="8.7109375" defaultRowHeight="12.75" x14ac:dyDescent="0.2"/>
  <cols>
    <col min="1" max="1" width="33.140625" style="6" customWidth="1"/>
    <col min="2" max="2" width="15.5703125" style="6" customWidth="1"/>
    <col min="3" max="4" width="12.42578125" style="6" customWidth="1"/>
    <col min="5" max="5" width="15.5703125" style="6" customWidth="1"/>
    <col min="6" max="6" width="17.42578125" style="6" bestFit="1" customWidth="1"/>
    <col min="7" max="7" width="16.85546875" style="6" bestFit="1" customWidth="1"/>
    <col min="8" max="10" width="17.140625" style="6" customWidth="1"/>
    <col min="11" max="11" width="18.42578125" style="6" customWidth="1"/>
    <col min="12" max="12" width="8.85546875" style="6" bestFit="1" customWidth="1"/>
    <col min="13" max="13" width="8.7109375" style="6"/>
    <col min="14" max="14" width="9.85546875" style="6" bestFit="1" customWidth="1"/>
    <col min="15" max="15" width="10.42578125" style="6" bestFit="1" customWidth="1"/>
    <col min="16" max="16" width="11.7109375" style="6" customWidth="1"/>
    <col min="17" max="17" width="11.7109375" style="6" bestFit="1" customWidth="1"/>
    <col min="18" max="18" width="13.140625" style="6" bestFit="1" customWidth="1"/>
    <col min="19" max="16384" width="8.7109375" style="6"/>
  </cols>
  <sheetData>
    <row r="1" spans="1:12" ht="24.6" customHeight="1" x14ac:dyDescent="0.2">
      <c r="A1" s="14" t="s">
        <v>0</v>
      </c>
      <c r="B1" s="14" t="s">
        <v>5</v>
      </c>
      <c r="C1" s="14" t="s">
        <v>6</v>
      </c>
      <c r="D1" s="14" t="s">
        <v>7</v>
      </c>
      <c r="E1" s="14" t="s">
        <v>4</v>
      </c>
      <c r="F1" s="14" t="s">
        <v>67</v>
      </c>
      <c r="G1" s="14" t="s">
        <v>71</v>
      </c>
      <c r="H1" s="14" t="s">
        <v>64</v>
      </c>
      <c r="I1" s="14" t="s">
        <v>65</v>
      </c>
      <c r="J1" s="14" t="s">
        <v>66</v>
      </c>
      <c r="K1" s="14" t="s">
        <v>13</v>
      </c>
      <c r="L1" s="6" t="s">
        <v>115</v>
      </c>
    </row>
    <row r="2" spans="1:12" x14ac:dyDescent="0.2">
      <c r="A2" s="1" t="s">
        <v>19</v>
      </c>
      <c r="B2" s="8">
        <f>SUMIFS('Stock In-Out'!D:D,'Stock In-Out'!B:B,"Opening Stock",'Stock In-Out'!A:A,Inventory!A2)</f>
        <v>1</v>
      </c>
      <c r="C2" s="8">
        <f>SUMIFS('Stock In-Out'!D:D,'Stock In-Out'!B:B,"In",'Stock In-Out'!A:A,Inventory!A2)</f>
        <v>0</v>
      </c>
      <c r="D2" s="8">
        <f>SUMIFS('Stock In-Out'!D:D,'Stock In-Out'!B:B,"Out",'Stock In-Out'!A:A,Inventory!A2)</f>
        <v>0</v>
      </c>
      <c r="E2" s="8">
        <f>B2+C2-D2</f>
        <v>1</v>
      </c>
      <c r="F2" s="8">
        <f>IFERROR(VLOOKUP(A2,'Product Master'!D:N,10,0)*E2,"")</f>
        <v>130000</v>
      </c>
      <c r="G2" s="9">
        <f>IFERROR(VLOOKUP(A2,'Product Master'!D:N,11,0)*E2,"")</f>
        <v>50000</v>
      </c>
      <c r="H2" s="8">
        <f>SUMIFS('Product Master'!G:G,'Product Master'!D:D,Inventory!A2)+SUMIFS('Stock In-Out'!I:I,'Stock In-Out'!A:A,Inventory!A2)-SUMIFS('Stock In-Out'!J:J,'Stock In-Out'!A:A,Inventory!A2)</f>
        <v>0</v>
      </c>
      <c r="I2" s="8">
        <f>SUMIFS('Product Master'!H:H,'Product Master'!D:D,Inventory!A2)+SUMIFS('Stock In-Out'!K:K,'Stock In-Out'!A:A,Inventory!A2)-SUMIFS('Stock In-Out'!L:L,'Stock In-Out'!A:A,Inventory!A2)</f>
        <v>0</v>
      </c>
      <c r="J2" s="8">
        <f>SUMIFS('Product Master'!I:I,'Product Master'!D:D,Inventory!A2)+SUMIFS('Stock In-Out'!M:M,'Stock In-Out'!A:A,Inventory!A2)-SUMIFS('Stock In-Out'!N:N,'Stock In-Out'!A:A,Inventory!A2)</f>
        <v>1</v>
      </c>
      <c r="K2" s="8" t="str">
        <f>IFERROR(VLOOKUP(A2,'Product Master'!D:N,7,0),"")</f>
        <v>STORE ROOM 2</v>
      </c>
      <c r="L2" s="6" t="str">
        <f>IFERROR(VLOOKUP(A2,'Product Master'!D1:F19998,3,0),"")</f>
        <v>REPAIR</v>
      </c>
    </row>
    <row r="3" spans="1:12" x14ac:dyDescent="0.2">
      <c r="A3" s="1" t="s">
        <v>23</v>
      </c>
      <c r="B3" s="8">
        <f>SUMIFS('Stock In-Out'!D:D,'Stock In-Out'!B:B,"Opening Stock",'Stock In-Out'!A:A,Inventory!A3)</f>
        <v>1</v>
      </c>
      <c r="C3" s="8">
        <f>SUMIFS('Stock In-Out'!D:D,'Stock In-Out'!B:B,"In",'Stock In-Out'!A:A,Inventory!A3)</f>
        <v>0</v>
      </c>
      <c r="D3" s="8">
        <f>SUMIFS('Stock In-Out'!D:D,'Stock In-Out'!B:B,"Out",'Stock In-Out'!A:A,Inventory!A3)</f>
        <v>0</v>
      </c>
      <c r="E3" s="8">
        <f t="shared" ref="E3:E43" si="0">B3+C3-D3</f>
        <v>1</v>
      </c>
      <c r="F3" s="8">
        <f>IFERROR(VLOOKUP(A3,'Product Master'!D:N,10,0)*E3,"")</f>
        <v>47000</v>
      </c>
      <c r="G3" s="9">
        <f>IFERROR(VLOOKUP(A3,'Product Master'!D:N,11,0)*E3,"")</f>
        <v>7000</v>
      </c>
      <c r="H3" s="8">
        <f>SUMIFS('Product Master'!G:G,'Product Master'!D:D,Inventory!A3)+SUMIFS('Stock In-Out'!I:I,'Stock In-Out'!A:A,Inventory!A3)-SUMIFS('Stock In-Out'!J:J,'Stock In-Out'!A:A,Inventory!A3)</f>
        <v>0</v>
      </c>
      <c r="I3" s="8">
        <f>SUMIFS('Product Master'!H:H,'Product Master'!D:D,Inventory!A3)+SUMIFS('Stock In-Out'!K:K,'Stock In-Out'!A:A,Inventory!A3)-SUMIFS('Stock In-Out'!L:L,'Stock In-Out'!A:A,Inventory!A3)</f>
        <v>1</v>
      </c>
      <c r="J3" s="8">
        <f>SUMIFS('Product Master'!I:I,'Product Master'!D:D,Inventory!A3)+SUMIFS('Stock In-Out'!M:M,'Stock In-Out'!A:A,Inventory!A3)-SUMIFS('Stock In-Out'!N:N,'Stock In-Out'!A:A,Inventory!A3)</f>
        <v>0</v>
      </c>
      <c r="K3" s="8" t="str">
        <f>IFERROR(VLOOKUP(A3,'Product Master'!D:N,7,0),"")</f>
        <v>STORE ROOM 2</v>
      </c>
      <c r="L3" s="6" t="str">
        <f>IFERROR(VLOOKUP(A3,'Product Master'!D2:F19999,3,0),"")</f>
        <v>DAMAGED</v>
      </c>
    </row>
    <row r="4" spans="1:12" x14ac:dyDescent="0.2">
      <c r="A4" s="1" t="s">
        <v>24</v>
      </c>
      <c r="B4" s="8">
        <f>SUMIFS('Stock In-Out'!D:D,'Stock In-Out'!B:B,"Opening Stock",'Stock In-Out'!A:A,Inventory!A4)</f>
        <v>1</v>
      </c>
      <c r="C4" s="8">
        <f>SUMIFS('Stock In-Out'!D:D,'Stock In-Out'!B:B,"In",'Stock In-Out'!A:A,Inventory!A4)</f>
        <v>0</v>
      </c>
      <c r="D4" s="8">
        <f>SUMIFS('Stock In-Out'!D:D,'Stock In-Out'!B:B,"Out",'Stock In-Out'!A:A,Inventory!A4)</f>
        <v>0</v>
      </c>
      <c r="E4" s="8">
        <f t="shared" si="0"/>
        <v>1</v>
      </c>
      <c r="F4" s="8">
        <f>IFERROR(VLOOKUP(A4,'Product Master'!D:N,10,0)*E4,"")</f>
        <v>30000</v>
      </c>
      <c r="G4" s="9">
        <f>IFERROR(VLOOKUP(A4,'Product Master'!D:N,11,0)*E4,"")</f>
        <v>15000</v>
      </c>
      <c r="H4" s="8">
        <f>SUMIFS('Product Master'!G:G,'Product Master'!D:D,Inventory!A4)+SUMIFS('Stock In-Out'!I:I,'Stock In-Out'!A:A,Inventory!A4)-SUMIFS('Stock In-Out'!J:J,'Stock In-Out'!A:A,Inventory!A4)</f>
        <v>1</v>
      </c>
      <c r="I4" s="8">
        <f>SUMIFS('Product Master'!H:H,'Product Master'!D:D,Inventory!A4)+SUMIFS('Stock In-Out'!K:K,'Stock In-Out'!A:A,Inventory!A4)-SUMIFS('Stock In-Out'!L:L,'Stock In-Out'!A:A,Inventory!A4)</f>
        <v>0</v>
      </c>
      <c r="J4" s="8">
        <f>SUMIFS('Product Master'!I:I,'Product Master'!D:D,Inventory!A4)+SUMIFS('Stock In-Out'!M:M,'Stock In-Out'!A:A,Inventory!A4)-SUMIFS('Stock In-Out'!N:N,'Stock In-Out'!A:A,Inventory!A4)</f>
        <v>0</v>
      </c>
      <c r="K4" s="8" t="str">
        <f>IFERROR(VLOOKUP(A4,'Product Master'!D:N,7,0),"")</f>
        <v>STORE ROOM 2</v>
      </c>
      <c r="L4" s="6" t="str">
        <f>IFERROR(VLOOKUP(A4,'Product Master'!D3:F20000,3,0),"")</f>
        <v>USABLE</v>
      </c>
    </row>
    <row r="5" spans="1:12" x14ac:dyDescent="0.2">
      <c r="A5" s="1" t="s">
        <v>27</v>
      </c>
      <c r="B5" s="8">
        <f>SUMIFS('Stock In-Out'!D:D,'Stock In-Out'!B:B,"Opening Stock",'Stock In-Out'!A:A,Inventory!A5)</f>
        <v>1</v>
      </c>
      <c r="C5" s="8">
        <f>SUMIFS('Stock In-Out'!D:D,'Stock In-Out'!B:B,"In",'Stock In-Out'!A:A,Inventory!A5)</f>
        <v>0</v>
      </c>
      <c r="D5" s="8">
        <f>SUMIFS('Stock In-Out'!D:D,'Stock In-Out'!B:B,"Out",'Stock In-Out'!A:A,Inventory!A5)</f>
        <v>0</v>
      </c>
      <c r="E5" s="8">
        <f t="shared" si="0"/>
        <v>1</v>
      </c>
      <c r="F5" s="8">
        <f>IFERROR(VLOOKUP(A5,'Product Master'!D:N,10,0)*E5,"")</f>
        <v>40000</v>
      </c>
      <c r="G5" s="9">
        <f>IFERROR(VLOOKUP(A5,'Product Master'!D:N,11,0)*E5,"")</f>
        <v>10000</v>
      </c>
      <c r="H5" s="8">
        <f>SUMIFS('Product Master'!G:G,'Product Master'!D:D,Inventory!A5)+SUMIFS('Stock In-Out'!I:I,'Stock In-Out'!A:A,Inventory!A5)-SUMIFS('Stock In-Out'!J:J,'Stock In-Out'!A:A,Inventory!A5)</f>
        <v>1</v>
      </c>
      <c r="I5" s="8">
        <f>SUMIFS('Product Master'!H:H,'Product Master'!D:D,Inventory!A5)+SUMIFS('Stock In-Out'!K:K,'Stock In-Out'!A:A,Inventory!A5)-SUMIFS('Stock In-Out'!L:L,'Stock In-Out'!A:A,Inventory!A5)</f>
        <v>0</v>
      </c>
      <c r="J5" s="8">
        <f>SUMIFS('Product Master'!I:I,'Product Master'!D:D,Inventory!A5)+SUMIFS('Stock In-Out'!M:M,'Stock In-Out'!A:A,Inventory!A5)-SUMIFS('Stock In-Out'!N:N,'Stock In-Out'!A:A,Inventory!A5)</f>
        <v>0</v>
      </c>
      <c r="K5" s="8" t="str">
        <f>IFERROR(VLOOKUP(A5,'Product Master'!D:N,7,0),"")</f>
        <v>STORE ROOM 2</v>
      </c>
      <c r="L5" s="6" t="str">
        <f>IFERROR(VLOOKUP(A5,'Product Master'!D4:F20001,3,0),"")</f>
        <v>USABLE</v>
      </c>
    </row>
    <row r="6" spans="1:12" x14ac:dyDescent="0.2">
      <c r="A6" s="1" t="s">
        <v>29</v>
      </c>
      <c r="B6" s="8">
        <f>SUMIFS('Stock In-Out'!D:D,'Stock In-Out'!B:B,"Opening Stock",'Stock In-Out'!A:A,Inventory!A6)</f>
        <v>1</v>
      </c>
      <c r="C6" s="8">
        <f>SUMIFS('Stock In-Out'!D:D,'Stock In-Out'!B:B,"In",'Stock In-Out'!A:A,Inventory!A6)</f>
        <v>0</v>
      </c>
      <c r="D6" s="8">
        <f>SUMIFS('Stock In-Out'!D:D,'Stock In-Out'!B:B,"Out",'Stock In-Out'!A:A,Inventory!A6)</f>
        <v>0</v>
      </c>
      <c r="E6" s="8">
        <f t="shared" si="0"/>
        <v>1</v>
      </c>
      <c r="F6" s="8">
        <f>IFERROR(VLOOKUP(A6,'Product Master'!D:N,10,0)*E6,"")</f>
        <v>30000</v>
      </c>
      <c r="G6" s="9">
        <f>IFERROR(VLOOKUP(A6,'Product Master'!D:N,11,0)*E6,"")</f>
        <v>10000</v>
      </c>
      <c r="H6" s="8">
        <f>SUMIFS('Product Master'!G:G,'Product Master'!D:D,Inventory!A6)+SUMIFS('Stock In-Out'!I:I,'Stock In-Out'!A:A,Inventory!A6)-SUMIFS('Stock In-Out'!J:J,'Stock In-Out'!A:A,Inventory!A6)</f>
        <v>1</v>
      </c>
      <c r="I6" s="8">
        <f>SUMIFS('Product Master'!H:H,'Product Master'!D:D,Inventory!A6)+SUMIFS('Stock In-Out'!K:K,'Stock In-Out'!A:A,Inventory!A6)-SUMIFS('Stock In-Out'!L:L,'Stock In-Out'!A:A,Inventory!A6)</f>
        <v>0</v>
      </c>
      <c r="J6" s="8">
        <f>SUMIFS('Product Master'!I:I,'Product Master'!D:D,Inventory!A6)+SUMIFS('Stock In-Out'!M:M,'Stock In-Out'!A:A,Inventory!A6)-SUMIFS('Stock In-Out'!N:N,'Stock In-Out'!A:A,Inventory!A6)</f>
        <v>0</v>
      </c>
      <c r="K6" s="8" t="str">
        <f>IFERROR(VLOOKUP(A6,'Product Master'!D:N,7,0),"")</f>
        <v>STORE ROOM 2</v>
      </c>
      <c r="L6" s="6" t="str">
        <f>IFERROR(VLOOKUP(A6,'Product Master'!D5:F20002,3,0),"")</f>
        <v>USABLE</v>
      </c>
    </row>
    <row r="7" spans="1:12" x14ac:dyDescent="0.2">
      <c r="A7" s="1" t="s">
        <v>31</v>
      </c>
      <c r="B7" s="8">
        <f>SUMIFS('Stock In-Out'!D:D,'Stock In-Out'!B:B,"Opening Stock",'Stock In-Out'!A:A,Inventory!A7)</f>
        <v>2</v>
      </c>
      <c r="C7" s="8">
        <f>SUMIFS('Stock In-Out'!D:D,'Stock In-Out'!B:B,"In",'Stock In-Out'!A:A,Inventory!A7)</f>
        <v>0</v>
      </c>
      <c r="D7" s="8">
        <f>SUMIFS('Stock In-Out'!D:D,'Stock In-Out'!B:B,"Out",'Stock In-Out'!A:A,Inventory!A7)</f>
        <v>0</v>
      </c>
      <c r="E7" s="8">
        <f t="shared" si="0"/>
        <v>2</v>
      </c>
      <c r="F7" s="8">
        <f>IFERROR(VLOOKUP(A7,'Product Master'!D:N,10,0)*E7,"")</f>
        <v>80000</v>
      </c>
      <c r="G7" s="9">
        <f>IFERROR(VLOOKUP(A7,'Product Master'!D:N,11,0)*E7,"")</f>
        <v>20000</v>
      </c>
      <c r="H7" s="8">
        <f>SUMIFS('Product Master'!G:G,'Product Master'!D:D,Inventory!A7)+SUMIFS('Stock In-Out'!I:I,'Stock In-Out'!A:A,Inventory!A7)-SUMIFS('Stock In-Out'!J:J,'Stock In-Out'!A:A,Inventory!A7)</f>
        <v>0</v>
      </c>
      <c r="I7" s="8">
        <f>SUMIFS('Product Master'!H:H,'Product Master'!D:D,Inventory!A7)+SUMIFS('Stock In-Out'!K:K,'Stock In-Out'!A:A,Inventory!A7)-SUMIFS('Stock In-Out'!L:L,'Stock In-Out'!A:A,Inventory!A7)</f>
        <v>2</v>
      </c>
      <c r="J7" s="8">
        <f>SUMIFS('Product Master'!I:I,'Product Master'!D:D,Inventory!A7)+SUMIFS('Stock In-Out'!M:M,'Stock In-Out'!A:A,Inventory!A7)-SUMIFS('Stock In-Out'!N:N,'Stock In-Out'!A:A,Inventory!A7)</f>
        <v>0</v>
      </c>
      <c r="K7" s="8" t="str">
        <f>IFERROR(VLOOKUP(A7,'Product Master'!D:N,7,0),"")</f>
        <v>STORE ROOM 2</v>
      </c>
      <c r="L7" s="6" t="str">
        <f>IFERROR(VLOOKUP(A7,'Product Master'!D6:F20003,3,0),"")</f>
        <v>DAMAGED</v>
      </c>
    </row>
    <row r="8" spans="1:12" x14ac:dyDescent="0.2">
      <c r="A8" s="1" t="s">
        <v>32</v>
      </c>
      <c r="B8" s="8">
        <f>SUMIFS('Stock In-Out'!D:D,'Stock In-Out'!B:B,"Opening Stock",'Stock In-Out'!A:A,Inventory!A8)</f>
        <v>1</v>
      </c>
      <c r="C8" s="8">
        <f>SUMIFS('Stock In-Out'!D:D,'Stock In-Out'!B:B,"In",'Stock In-Out'!A:A,Inventory!A8)</f>
        <v>0</v>
      </c>
      <c r="D8" s="8">
        <f>SUMIFS('Stock In-Out'!D:D,'Stock In-Out'!B:B,"Out",'Stock In-Out'!A:A,Inventory!A8)</f>
        <v>0</v>
      </c>
      <c r="E8" s="8">
        <f t="shared" si="0"/>
        <v>1</v>
      </c>
      <c r="F8" s="8">
        <f>IFERROR(VLOOKUP(A8,'Product Master'!D:N,10,0)*E8,"")</f>
        <v>30000</v>
      </c>
      <c r="G8" s="9">
        <f>IFERROR(VLOOKUP(A8,'Product Master'!D:N,11,0)*E8,"")</f>
        <v>10000</v>
      </c>
      <c r="H8" s="8">
        <f>SUMIFS('Product Master'!G:G,'Product Master'!D:D,Inventory!A8)+SUMIFS('Stock In-Out'!I:I,'Stock In-Out'!A:A,Inventory!A8)-SUMIFS('Stock In-Out'!J:J,'Stock In-Out'!A:A,Inventory!A8)</f>
        <v>0</v>
      </c>
      <c r="I8" s="8">
        <f>SUMIFS('Product Master'!H:H,'Product Master'!D:D,Inventory!A8)+SUMIFS('Stock In-Out'!K:K,'Stock In-Out'!A:A,Inventory!A8)-SUMIFS('Stock In-Out'!L:L,'Stock In-Out'!A:A,Inventory!A8)</f>
        <v>1</v>
      </c>
      <c r="J8" s="8">
        <f>SUMIFS('Product Master'!I:I,'Product Master'!D:D,Inventory!A8)+SUMIFS('Stock In-Out'!M:M,'Stock In-Out'!A:A,Inventory!A8)-SUMIFS('Stock In-Out'!N:N,'Stock In-Out'!A:A,Inventory!A8)</f>
        <v>0</v>
      </c>
      <c r="K8" s="8" t="str">
        <f>IFERROR(VLOOKUP(A8,'Product Master'!D:N,7,0),"")</f>
        <v>STORE ROOM 2</v>
      </c>
      <c r="L8" s="6" t="str">
        <f>IFERROR(VLOOKUP(A8,'Product Master'!D7:F20004,3,0),"")</f>
        <v>DAMAGED</v>
      </c>
    </row>
    <row r="9" spans="1:12" x14ac:dyDescent="0.2">
      <c r="A9" s="1" t="s">
        <v>33</v>
      </c>
      <c r="B9" s="8">
        <f>SUMIFS('Stock In-Out'!D:D,'Stock In-Out'!B:B,"Opening Stock",'Stock In-Out'!A:A,Inventory!A9)</f>
        <v>3</v>
      </c>
      <c r="C9" s="8">
        <f>SUMIFS('Stock In-Out'!D:D,'Stock In-Out'!B:B,"In",'Stock In-Out'!A:A,Inventory!A9)</f>
        <v>0</v>
      </c>
      <c r="D9" s="8">
        <f>SUMIFS('Stock In-Out'!D:D,'Stock In-Out'!B:B,"Out",'Stock In-Out'!A:A,Inventory!A9)</f>
        <v>0</v>
      </c>
      <c r="E9" s="8">
        <f t="shared" si="0"/>
        <v>3</v>
      </c>
      <c r="F9" s="8">
        <f>IFERROR(VLOOKUP(A9,'Product Master'!D:N,10,0)*E9,"")</f>
        <v>120000</v>
      </c>
      <c r="G9" s="9">
        <f>IFERROR(VLOOKUP(A9,'Product Master'!D:N,11,0)*E9,"")</f>
        <v>30000</v>
      </c>
      <c r="H9" s="8">
        <f>SUMIFS('Product Master'!G:G,'Product Master'!D:D,Inventory!A9)+SUMIFS('Stock In-Out'!I:I,'Stock In-Out'!A:A,Inventory!A9)-SUMIFS('Stock In-Out'!J:J,'Stock In-Out'!A:A,Inventory!A9)</f>
        <v>2</v>
      </c>
      <c r="I9" s="8">
        <f>SUMIFS('Product Master'!H:H,'Product Master'!D:D,Inventory!A9)+SUMIFS('Stock In-Out'!K:K,'Stock In-Out'!A:A,Inventory!A9)-SUMIFS('Stock In-Out'!L:L,'Stock In-Out'!A:A,Inventory!A9)</f>
        <v>0</v>
      </c>
      <c r="J9" s="8">
        <f>SUMIFS('Product Master'!I:I,'Product Master'!D:D,Inventory!A9)+SUMIFS('Stock In-Out'!M:M,'Stock In-Out'!A:A,Inventory!A9)-SUMIFS('Stock In-Out'!N:N,'Stock In-Out'!A:A,Inventory!A9)</f>
        <v>1</v>
      </c>
      <c r="K9" s="8" t="str">
        <f>IFERROR(VLOOKUP(A9,'Product Master'!D:N,7,0),"")</f>
        <v>STORE ROOM 2</v>
      </c>
      <c r="L9" s="6" t="str">
        <f>IFERROR(VLOOKUP(A9,'Product Master'!D8:F20005,3,0),"")</f>
        <v>USABLE</v>
      </c>
    </row>
    <row r="10" spans="1:12" x14ac:dyDescent="0.2">
      <c r="A10" s="1" t="s">
        <v>35</v>
      </c>
      <c r="B10" s="8">
        <f>SUMIFS('Stock In-Out'!D:D,'Stock In-Out'!B:B,"Opening Stock",'Stock In-Out'!A:A,Inventory!A10)</f>
        <v>1</v>
      </c>
      <c r="C10" s="8">
        <f>SUMIFS('Stock In-Out'!D:D,'Stock In-Out'!B:B,"In",'Stock In-Out'!A:A,Inventory!A10)</f>
        <v>0</v>
      </c>
      <c r="D10" s="8">
        <f>SUMIFS('Stock In-Out'!D:D,'Stock In-Out'!B:B,"Out",'Stock In-Out'!A:A,Inventory!A10)</f>
        <v>0</v>
      </c>
      <c r="E10" s="8">
        <f t="shared" si="0"/>
        <v>1</v>
      </c>
      <c r="F10" s="8">
        <f>IFERROR(VLOOKUP(A10,'Product Master'!D:N,10,0)*E10,"")</f>
        <v>30000</v>
      </c>
      <c r="G10" s="9">
        <f>IFERROR(VLOOKUP(A10,'Product Master'!D:N,11,0)*E10,"")</f>
        <v>10000</v>
      </c>
      <c r="H10" s="8">
        <f>SUMIFS('Product Master'!G:G,'Product Master'!D:D,Inventory!A10)+SUMIFS('Stock In-Out'!I:I,'Stock In-Out'!A:A,Inventory!A10)-SUMIFS('Stock In-Out'!J:J,'Stock In-Out'!A:A,Inventory!A10)</f>
        <v>0</v>
      </c>
      <c r="I10" s="8">
        <f>SUMIFS('Product Master'!H:H,'Product Master'!D:D,Inventory!A10)+SUMIFS('Stock In-Out'!K:K,'Stock In-Out'!A:A,Inventory!A10)-SUMIFS('Stock In-Out'!L:L,'Stock In-Out'!A:A,Inventory!A10)</f>
        <v>0</v>
      </c>
      <c r="J10" s="8">
        <f>SUMIFS('Product Master'!I:I,'Product Master'!D:D,Inventory!A10)+SUMIFS('Stock In-Out'!M:M,'Stock In-Out'!A:A,Inventory!A10)-SUMIFS('Stock In-Out'!N:N,'Stock In-Out'!A:A,Inventory!A10)</f>
        <v>1</v>
      </c>
      <c r="K10" s="8" t="str">
        <f>IFERROR(VLOOKUP(A10,'Product Master'!D:N,7,0),"")</f>
        <v>STORE ROOM 2</v>
      </c>
      <c r="L10" s="6" t="str">
        <f>IFERROR(VLOOKUP(A10,'Product Master'!D9:F20006,3,0),"")</f>
        <v>REPAIR</v>
      </c>
    </row>
    <row r="11" spans="1:12" x14ac:dyDescent="0.2">
      <c r="A11" s="1" t="s">
        <v>37</v>
      </c>
      <c r="B11" s="8">
        <f>SUMIFS('Stock In-Out'!D:D,'Stock In-Out'!B:B,"Opening Stock",'Stock In-Out'!A:A,Inventory!A11)</f>
        <v>3</v>
      </c>
      <c r="C11" s="8">
        <f>SUMIFS('Stock In-Out'!D:D,'Stock In-Out'!B:B,"In",'Stock In-Out'!A:A,Inventory!A11)</f>
        <v>0</v>
      </c>
      <c r="D11" s="8">
        <f>SUMIFS('Stock In-Out'!D:D,'Stock In-Out'!B:B,"Out",'Stock In-Out'!A:A,Inventory!A11)</f>
        <v>0</v>
      </c>
      <c r="E11" s="8">
        <f t="shared" si="0"/>
        <v>3</v>
      </c>
      <c r="F11" s="8">
        <f>IFERROR(VLOOKUP(A11,'Product Master'!D:N,10,0)*E11,"")</f>
        <v>15000</v>
      </c>
      <c r="G11" s="9">
        <f>IFERROR(VLOOKUP(A11,'Product Master'!D:N,11,0)*E11,"")</f>
        <v>300</v>
      </c>
      <c r="H11" s="8">
        <f>SUMIFS('Product Master'!G:G,'Product Master'!D:D,Inventory!A11)+SUMIFS('Stock In-Out'!I:I,'Stock In-Out'!A:A,Inventory!A11)-SUMIFS('Stock In-Out'!J:J,'Stock In-Out'!A:A,Inventory!A11)</f>
        <v>0</v>
      </c>
      <c r="I11" s="8">
        <f>SUMIFS('Product Master'!H:H,'Product Master'!D:D,Inventory!A11)+SUMIFS('Stock In-Out'!K:K,'Stock In-Out'!A:A,Inventory!A11)-SUMIFS('Stock In-Out'!L:L,'Stock In-Out'!A:A,Inventory!A11)</f>
        <v>3</v>
      </c>
      <c r="J11" s="8">
        <f>SUMIFS('Product Master'!I:I,'Product Master'!D:D,Inventory!A11)+SUMIFS('Stock In-Out'!M:M,'Stock In-Out'!A:A,Inventory!A11)-SUMIFS('Stock In-Out'!N:N,'Stock In-Out'!A:A,Inventory!A11)</f>
        <v>0</v>
      </c>
      <c r="K11" s="8" t="str">
        <f>IFERROR(VLOOKUP(A11,'Product Master'!D:N,7,0),"")</f>
        <v>STORE ROOM 2</v>
      </c>
      <c r="L11" s="6" t="str">
        <f>IFERROR(VLOOKUP(A11,'Product Master'!D10:F20007,3,0),"")</f>
        <v>DAMAGED</v>
      </c>
    </row>
    <row r="12" spans="1:12" x14ac:dyDescent="0.2">
      <c r="A12" s="1" t="s">
        <v>38</v>
      </c>
      <c r="B12" s="8">
        <f>SUMIFS('Stock In-Out'!D:D,'Stock In-Out'!B:B,"Opening Stock",'Stock In-Out'!A:A,Inventory!A12)</f>
        <v>1</v>
      </c>
      <c r="C12" s="8">
        <f>SUMIFS('Stock In-Out'!D:D,'Stock In-Out'!B:B,"In",'Stock In-Out'!A:A,Inventory!A12)</f>
        <v>0</v>
      </c>
      <c r="D12" s="8">
        <f>SUMIFS('Stock In-Out'!D:D,'Stock In-Out'!B:B,"Out",'Stock In-Out'!A:A,Inventory!A12)</f>
        <v>0</v>
      </c>
      <c r="E12" s="8">
        <f t="shared" si="0"/>
        <v>1</v>
      </c>
      <c r="F12" s="8">
        <f>IFERROR(VLOOKUP(A12,'Product Master'!D:N,10,0)*E12,"")</f>
        <v>21000</v>
      </c>
      <c r="G12" s="9">
        <f>IFERROR(VLOOKUP(A12,'Product Master'!D:N,11,0)*E12,"")</f>
        <v>5000</v>
      </c>
      <c r="H12" s="8">
        <f>SUMIFS('Product Master'!G:G,'Product Master'!D:D,Inventory!A12)+SUMIFS('Stock In-Out'!I:I,'Stock In-Out'!A:A,Inventory!A12)-SUMIFS('Stock In-Out'!J:J,'Stock In-Out'!A:A,Inventory!A12)</f>
        <v>1</v>
      </c>
      <c r="I12" s="8">
        <f>SUMIFS('Product Master'!H:H,'Product Master'!D:D,Inventory!A12)+SUMIFS('Stock In-Out'!K:K,'Stock In-Out'!A:A,Inventory!A12)-SUMIFS('Stock In-Out'!L:L,'Stock In-Out'!A:A,Inventory!A12)</f>
        <v>0</v>
      </c>
      <c r="J12" s="8">
        <f>SUMIFS('Product Master'!I:I,'Product Master'!D:D,Inventory!A12)+SUMIFS('Stock In-Out'!M:M,'Stock In-Out'!A:A,Inventory!A12)-SUMIFS('Stock In-Out'!N:N,'Stock In-Out'!A:A,Inventory!A12)</f>
        <v>0</v>
      </c>
      <c r="K12" s="8" t="str">
        <f>IFERROR(VLOOKUP(A12,'Product Master'!D:N,7,0),"")</f>
        <v>STORE ROOM 2</v>
      </c>
      <c r="L12" s="6" t="str">
        <f>IFERROR(VLOOKUP(A12,'Product Master'!D11:F20008,3,0),"")</f>
        <v>USABLE</v>
      </c>
    </row>
    <row r="13" spans="1:12" x14ac:dyDescent="0.2">
      <c r="A13" s="1" t="s">
        <v>40</v>
      </c>
      <c r="B13" s="8">
        <f>SUMIFS('Stock In-Out'!D:D,'Stock In-Out'!B:B,"Opening Stock",'Stock In-Out'!A:A,Inventory!A13)</f>
        <v>6</v>
      </c>
      <c r="C13" s="8">
        <f>SUMIFS('Stock In-Out'!D:D,'Stock In-Out'!B:B,"In",'Stock In-Out'!A:A,Inventory!A13)</f>
        <v>0</v>
      </c>
      <c r="D13" s="8">
        <f>SUMIFS('Stock In-Out'!D:D,'Stock In-Out'!B:B,"Out",'Stock In-Out'!A:A,Inventory!A13)</f>
        <v>0</v>
      </c>
      <c r="E13" s="8">
        <f t="shared" si="0"/>
        <v>6</v>
      </c>
      <c r="F13" s="8">
        <f>IFERROR(VLOOKUP(A13,'Product Master'!D:N,10,0)*E13,"")</f>
        <v>150000</v>
      </c>
      <c r="G13" s="9">
        <f>IFERROR(VLOOKUP(A13,'Product Master'!D:N,11,0)*E13,"")</f>
        <v>15000</v>
      </c>
      <c r="H13" s="8">
        <f>SUMIFS('Product Master'!G:G,'Product Master'!D:D,Inventory!A13)+SUMIFS('Stock In-Out'!I:I,'Stock In-Out'!A:A,Inventory!A13)-SUMIFS('Stock In-Out'!J:J,'Stock In-Out'!A:A,Inventory!A13)</f>
        <v>0</v>
      </c>
      <c r="I13" s="8">
        <f>SUMIFS('Product Master'!H:H,'Product Master'!D:D,Inventory!A13)+SUMIFS('Stock In-Out'!K:K,'Stock In-Out'!A:A,Inventory!A13)-SUMIFS('Stock In-Out'!L:L,'Stock In-Out'!A:A,Inventory!A13)</f>
        <v>6</v>
      </c>
      <c r="J13" s="8">
        <f>SUMIFS('Product Master'!I:I,'Product Master'!D:D,Inventory!A13)+SUMIFS('Stock In-Out'!M:M,'Stock In-Out'!A:A,Inventory!A13)-SUMIFS('Stock In-Out'!N:N,'Stock In-Out'!A:A,Inventory!A13)</f>
        <v>0</v>
      </c>
      <c r="K13" s="8" t="str">
        <f>IFERROR(VLOOKUP(A13,'Product Master'!D:N,7,0),"")</f>
        <v>STORE ROOM 3</v>
      </c>
      <c r="L13" s="6" t="str">
        <f>IFERROR(VLOOKUP(A13,'Product Master'!D12:F20009,3,0),"")</f>
        <v>DAMAGED</v>
      </c>
    </row>
    <row r="14" spans="1:12" x14ac:dyDescent="0.2">
      <c r="A14" s="1" t="s">
        <v>43</v>
      </c>
      <c r="B14" s="8">
        <f>SUMIFS('Stock In-Out'!D:D,'Stock In-Out'!B:B,"Opening Stock",'Stock In-Out'!A:A,Inventory!A14)</f>
        <v>6</v>
      </c>
      <c r="C14" s="8">
        <f>SUMIFS('Stock In-Out'!D:D,'Stock In-Out'!B:B,"In",'Stock In-Out'!A:A,Inventory!A14)</f>
        <v>0</v>
      </c>
      <c r="D14" s="8">
        <f>SUMIFS('Stock In-Out'!D:D,'Stock In-Out'!B:B,"Out",'Stock In-Out'!A:A,Inventory!A14)</f>
        <v>0</v>
      </c>
      <c r="E14" s="8">
        <f t="shared" si="0"/>
        <v>6</v>
      </c>
      <c r="F14" s="8">
        <f>IFERROR(VLOOKUP(A14,'Product Master'!D:N,10,0)*E14,"")</f>
        <v>24000</v>
      </c>
      <c r="G14" s="9">
        <f>IFERROR(VLOOKUP(A14,'Product Master'!D:N,11,0)*E14,"")</f>
        <v>600</v>
      </c>
      <c r="H14" s="8">
        <f>SUMIFS('Product Master'!G:G,'Product Master'!D:D,Inventory!A14)+SUMIFS('Stock In-Out'!I:I,'Stock In-Out'!A:A,Inventory!A14)-SUMIFS('Stock In-Out'!J:J,'Stock In-Out'!A:A,Inventory!A14)</f>
        <v>0</v>
      </c>
      <c r="I14" s="8">
        <f>SUMIFS('Product Master'!H:H,'Product Master'!D:D,Inventory!A14)+SUMIFS('Stock In-Out'!K:K,'Stock In-Out'!A:A,Inventory!A14)-SUMIFS('Stock In-Out'!L:L,'Stock In-Out'!A:A,Inventory!A14)</f>
        <v>6</v>
      </c>
      <c r="J14" s="8">
        <f>SUMIFS('Product Master'!I:I,'Product Master'!D:D,Inventory!A14)+SUMIFS('Stock In-Out'!M:M,'Stock In-Out'!A:A,Inventory!A14)-SUMIFS('Stock In-Out'!N:N,'Stock In-Out'!A:A,Inventory!A14)</f>
        <v>0</v>
      </c>
      <c r="K14" s="8" t="str">
        <f>IFERROR(VLOOKUP(A14,'Product Master'!D:N,7,0),"")</f>
        <v>STORE ROOM 3</v>
      </c>
      <c r="L14" s="6" t="str">
        <f>IFERROR(VLOOKUP(A14,'Product Master'!D13:F20010,3,0),"")</f>
        <v>DAMAGED</v>
      </c>
    </row>
    <row r="15" spans="1:12" x14ac:dyDescent="0.2">
      <c r="A15" s="1" t="s">
        <v>45</v>
      </c>
      <c r="B15" s="8">
        <f>SUMIFS('Stock In-Out'!D:D,'Stock In-Out'!B:B,"Opening Stock",'Stock In-Out'!A:A,Inventory!A15)</f>
        <v>2</v>
      </c>
      <c r="C15" s="8">
        <f>SUMIFS('Stock In-Out'!D:D,'Stock In-Out'!B:B,"In",'Stock In-Out'!A:A,Inventory!A15)</f>
        <v>0</v>
      </c>
      <c r="D15" s="8">
        <f>SUMIFS('Stock In-Out'!D:D,'Stock In-Out'!B:B,"Out",'Stock In-Out'!A:A,Inventory!A15)</f>
        <v>0</v>
      </c>
      <c r="E15" s="8">
        <f t="shared" si="0"/>
        <v>2</v>
      </c>
      <c r="F15" s="8">
        <f>IFERROR(VLOOKUP(A15,'Product Master'!D:N,10,0)*E15,"")</f>
        <v>60000</v>
      </c>
      <c r="G15" s="9">
        <f>IFERROR(VLOOKUP(A15,'Product Master'!D:N,11,0)*E15,"")</f>
        <v>1000</v>
      </c>
      <c r="H15" s="8">
        <f>SUMIFS('Product Master'!G:G,'Product Master'!D:D,Inventory!A15)+SUMIFS('Stock In-Out'!I:I,'Stock In-Out'!A:A,Inventory!A15)-SUMIFS('Stock In-Out'!J:J,'Stock In-Out'!A:A,Inventory!A15)</f>
        <v>0</v>
      </c>
      <c r="I15" s="8">
        <f>SUMIFS('Product Master'!H:H,'Product Master'!D:D,Inventory!A15)+SUMIFS('Stock In-Out'!K:K,'Stock In-Out'!A:A,Inventory!A15)-SUMIFS('Stock In-Out'!L:L,'Stock In-Out'!A:A,Inventory!A15)</f>
        <v>0</v>
      </c>
      <c r="J15" s="8">
        <f>SUMIFS('Product Master'!I:I,'Product Master'!D:D,Inventory!A15)+SUMIFS('Stock In-Out'!M:M,'Stock In-Out'!A:A,Inventory!A15)-SUMIFS('Stock In-Out'!N:N,'Stock In-Out'!A:A,Inventory!A15)</f>
        <v>2</v>
      </c>
      <c r="K15" s="8" t="str">
        <f>IFERROR(VLOOKUP(A15,'Product Master'!D:N,7,0),"")</f>
        <v>STORE ROOM 2</v>
      </c>
      <c r="L15" s="6" t="str">
        <f>IFERROR(VLOOKUP(A15,'Product Master'!D14:F20011,3,0),"")</f>
        <v>REPAIR</v>
      </c>
    </row>
    <row r="16" spans="1:12" x14ac:dyDescent="0.2">
      <c r="A16" s="1" t="s">
        <v>47</v>
      </c>
      <c r="B16" s="8">
        <f>SUMIFS('Stock In-Out'!D:D,'Stock In-Out'!B:B,"Opening Stock",'Stock In-Out'!A:A,Inventory!A16)</f>
        <v>7</v>
      </c>
      <c r="C16" s="8">
        <f>SUMIFS('Stock In-Out'!D:D,'Stock In-Out'!B:B,"In",'Stock In-Out'!A:A,Inventory!A16)</f>
        <v>0</v>
      </c>
      <c r="D16" s="8">
        <f>SUMIFS('Stock In-Out'!D:D,'Stock In-Out'!B:B,"Out",'Stock In-Out'!A:A,Inventory!A16)</f>
        <v>0</v>
      </c>
      <c r="E16" s="8">
        <f t="shared" si="0"/>
        <v>7</v>
      </c>
      <c r="F16" s="8">
        <f>IFERROR(VLOOKUP(A16,'Product Master'!D:N,10,0)*E16,"")</f>
        <v>17500</v>
      </c>
      <c r="G16" s="9">
        <f>IFERROR(VLOOKUP(A16,'Product Master'!D:N,11,0)*E16,"")</f>
        <v>700</v>
      </c>
      <c r="H16" s="8">
        <f>SUMIFS('Product Master'!G:G,'Product Master'!D:D,Inventory!A16)+SUMIFS('Stock In-Out'!I:I,'Stock In-Out'!A:A,Inventory!A16)-SUMIFS('Stock In-Out'!J:J,'Stock In-Out'!A:A,Inventory!A16)</f>
        <v>0</v>
      </c>
      <c r="I16" s="8">
        <f>SUMIFS('Product Master'!H:H,'Product Master'!D:D,Inventory!A16)+SUMIFS('Stock In-Out'!K:K,'Stock In-Out'!A:A,Inventory!A16)-SUMIFS('Stock In-Out'!L:L,'Stock In-Out'!A:A,Inventory!A16)</f>
        <v>7</v>
      </c>
      <c r="J16" s="8">
        <f>SUMIFS('Product Master'!I:I,'Product Master'!D:D,Inventory!A16)+SUMIFS('Stock In-Out'!M:M,'Stock In-Out'!A:A,Inventory!A16)-SUMIFS('Stock In-Out'!N:N,'Stock In-Out'!A:A,Inventory!A16)</f>
        <v>0</v>
      </c>
      <c r="K16" s="8" t="str">
        <f>IFERROR(VLOOKUP(A16,'Product Master'!D:N,7,0),"")</f>
        <v>STORE ROOM 2</v>
      </c>
      <c r="L16" s="6" t="str">
        <f>IFERROR(VLOOKUP(A16,'Product Master'!D15:F20012,3,0),"")</f>
        <v>DAMAGED</v>
      </c>
    </row>
    <row r="17" spans="1:12" x14ac:dyDescent="0.2">
      <c r="A17" s="1" t="s">
        <v>48</v>
      </c>
      <c r="B17" s="8">
        <f>SUMIFS('Stock In-Out'!D:D,'Stock In-Out'!B:B,"Opening Stock",'Stock In-Out'!A:A,Inventory!A17)</f>
        <v>1</v>
      </c>
      <c r="C17" s="8">
        <f>SUMIFS('Stock In-Out'!D:D,'Stock In-Out'!B:B,"In",'Stock In-Out'!A:A,Inventory!A17)</f>
        <v>0</v>
      </c>
      <c r="D17" s="8">
        <f>SUMIFS('Stock In-Out'!D:D,'Stock In-Out'!B:B,"Out",'Stock In-Out'!A:A,Inventory!A17)</f>
        <v>0</v>
      </c>
      <c r="E17" s="8">
        <f t="shared" si="0"/>
        <v>1</v>
      </c>
      <c r="F17" s="8">
        <f>IFERROR(VLOOKUP(A17,'Product Master'!D:N,10,0)*E17,"")</f>
        <v>90000</v>
      </c>
      <c r="G17" s="9">
        <f>IFERROR(VLOOKUP(A17,'Product Master'!D:N,11,0)*E17,"")</f>
        <v>10000</v>
      </c>
      <c r="H17" s="8">
        <f>SUMIFS('Product Master'!G:G,'Product Master'!D:D,Inventory!A17)+SUMIFS('Stock In-Out'!I:I,'Stock In-Out'!A:A,Inventory!A17)-SUMIFS('Stock In-Out'!J:J,'Stock In-Out'!A:A,Inventory!A17)</f>
        <v>0</v>
      </c>
      <c r="I17" s="8">
        <f>SUMIFS('Product Master'!H:H,'Product Master'!D:D,Inventory!A17)+SUMIFS('Stock In-Out'!K:K,'Stock In-Out'!A:A,Inventory!A17)-SUMIFS('Stock In-Out'!L:L,'Stock In-Out'!A:A,Inventory!A17)</f>
        <v>0</v>
      </c>
      <c r="J17" s="8">
        <f>SUMIFS('Product Master'!I:I,'Product Master'!D:D,Inventory!A17)+SUMIFS('Stock In-Out'!M:M,'Stock In-Out'!A:A,Inventory!A17)-SUMIFS('Stock In-Out'!N:N,'Stock In-Out'!A:A,Inventory!A17)</f>
        <v>1</v>
      </c>
      <c r="K17" s="8" t="str">
        <f>IFERROR(VLOOKUP(A17,'Product Master'!D:N,7,0),"")</f>
        <v>STORE ROOM 3</v>
      </c>
      <c r="L17" s="6" t="str">
        <f>IFERROR(VLOOKUP(A17,'Product Master'!D16:F20013,3,0),"")</f>
        <v>REPAIR</v>
      </c>
    </row>
    <row r="18" spans="1:12" x14ac:dyDescent="0.2">
      <c r="A18" s="1" t="s">
        <v>49</v>
      </c>
      <c r="B18" s="8">
        <f>SUMIFS('Stock In-Out'!D:D,'Stock In-Out'!B:B,"Opening Stock",'Stock In-Out'!A:A,Inventory!A18)</f>
        <v>3</v>
      </c>
      <c r="C18" s="8">
        <f>SUMIFS('Stock In-Out'!D:D,'Stock In-Out'!B:B,"In",'Stock In-Out'!A:A,Inventory!A18)</f>
        <v>0</v>
      </c>
      <c r="D18" s="8">
        <f>SUMIFS('Stock In-Out'!D:D,'Stock In-Out'!B:B,"Out",'Stock In-Out'!A:A,Inventory!A18)</f>
        <v>0</v>
      </c>
      <c r="E18" s="8">
        <f t="shared" si="0"/>
        <v>3</v>
      </c>
      <c r="F18" s="8">
        <f>IFERROR(VLOOKUP(A18,'Product Master'!D:N,10,0)*E18,"")</f>
        <v>15000</v>
      </c>
      <c r="G18" s="9">
        <f>IFERROR(VLOOKUP(A18,'Product Master'!D:N,11,0)*E18,"")</f>
        <v>1500</v>
      </c>
      <c r="H18" s="8">
        <f>SUMIFS('Product Master'!G:G,'Product Master'!D:D,Inventory!A18)+SUMIFS('Stock In-Out'!I:I,'Stock In-Out'!A:A,Inventory!A18)-SUMIFS('Stock In-Out'!J:J,'Stock In-Out'!A:A,Inventory!A18)</f>
        <v>0</v>
      </c>
      <c r="I18" s="8">
        <f>SUMIFS('Product Master'!H:H,'Product Master'!D:D,Inventory!A18)+SUMIFS('Stock In-Out'!K:K,'Stock In-Out'!A:A,Inventory!A18)-SUMIFS('Stock In-Out'!L:L,'Stock In-Out'!A:A,Inventory!A18)</f>
        <v>3</v>
      </c>
      <c r="J18" s="8">
        <f>SUMIFS('Product Master'!I:I,'Product Master'!D:D,Inventory!A18)+SUMIFS('Stock In-Out'!M:M,'Stock In-Out'!A:A,Inventory!A18)-SUMIFS('Stock In-Out'!N:N,'Stock In-Out'!A:A,Inventory!A18)</f>
        <v>0</v>
      </c>
      <c r="K18" s="8" t="str">
        <f>IFERROR(VLOOKUP(A18,'Product Master'!D:N,7,0),"")</f>
        <v>STORE ROOM 3</v>
      </c>
      <c r="L18" s="6" t="str">
        <f>IFERROR(VLOOKUP(A18,'Product Master'!D17:F20014,3,0),"")</f>
        <v>DAMAGED</v>
      </c>
    </row>
    <row r="19" spans="1:12" x14ac:dyDescent="0.2">
      <c r="A19" s="1" t="s">
        <v>50</v>
      </c>
      <c r="B19" s="8">
        <f>SUMIFS('Stock In-Out'!D:D,'Stock In-Out'!B:B,"Opening Stock",'Stock In-Out'!A:A,Inventory!A19)</f>
        <v>18</v>
      </c>
      <c r="C19" s="8">
        <f>SUMIFS('Stock In-Out'!D:D,'Stock In-Out'!B:B,"In",'Stock In-Out'!A:A,Inventory!A19)</f>
        <v>0</v>
      </c>
      <c r="D19" s="8">
        <f>SUMIFS('Stock In-Out'!D:D,'Stock In-Out'!B:B,"Out",'Stock In-Out'!A:A,Inventory!A19)</f>
        <v>0</v>
      </c>
      <c r="E19" s="8">
        <f t="shared" si="0"/>
        <v>18</v>
      </c>
      <c r="F19" s="8">
        <f>IFERROR(VLOOKUP(A19,'Product Master'!D:N,10,0)*E19,"")</f>
        <v>54000</v>
      </c>
      <c r="G19" s="9">
        <f>IFERROR(VLOOKUP(A19,'Product Master'!D:N,11,0)*E19,"")</f>
        <v>9000</v>
      </c>
      <c r="H19" s="8">
        <f>SUMIFS('Product Master'!G:G,'Product Master'!D:D,Inventory!A19)+SUMIFS('Stock In-Out'!I:I,'Stock In-Out'!A:A,Inventory!A19)-SUMIFS('Stock In-Out'!J:J,'Stock In-Out'!A:A,Inventory!A19)</f>
        <v>2</v>
      </c>
      <c r="I19" s="8">
        <f>SUMIFS('Product Master'!H:H,'Product Master'!D:D,Inventory!A19)+SUMIFS('Stock In-Out'!K:K,'Stock In-Out'!A:A,Inventory!A19)-SUMIFS('Stock In-Out'!L:L,'Stock In-Out'!A:A,Inventory!A19)</f>
        <v>3</v>
      </c>
      <c r="J19" s="8">
        <f>SUMIFS('Product Master'!I:I,'Product Master'!D:D,Inventory!A19)+SUMIFS('Stock In-Out'!M:M,'Stock In-Out'!A:A,Inventory!A19)-SUMIFS('Stock In-Out'!N:N,'Stock In-Out'!A:A,Inventory!A19)</f>
        <v>13</v>
      </c>
      <c r="K19" s="8" t="str">
        <f>IFERROR(VLOOKUP(A19,'Product Master'!D:N,7,0),"")</f>
        <v>STORE ROOM 3</v>
      </c>
      <c r="L19" s="6" t="str">
        <f>IFERROR(VLOOKUP(A19,'Product Master'!D18:F20015,3,0),"")</f>
        <v>REPAIR</v>
      </c>
    </row>
    <row r="20" spans="1:12" x14ac:dyDescent="0.2">
      <c r="A20" s="1" t="s">
        <v>51</v>
      </c>
      <c r="B20" s="8">
        <f>SUMIFS('Stock In-Out'!D:D,'Stock In-Out'!B:B,"Opening Stock",'Stock In-Out'!A:A,Inventory!A20)</f>
        <v>1</v>
      </c>
      <c r="C20" s="8">
        <f>SUMIFS('Stock In-Out'!D:D,'Stock In-Out'!B:B,"In",'Stock In-Out'!A:A,Inventory!A20)</f>
        <v>0</v>
      </c>
      <c r="D20" s="8">
        <f>SUMIFS('Stock In-Out'!D:D,'Stock In-Out'!B:B,"Out",'Stock In-Out'!A:A,Inventory!A20)</f>
        <v>0</v>
      </c>
      <c r="E20" s="8">
        <f t="shared" si="0"/>
        <v>1</v>
      </c>
      <c r="F20" s="8">
        <f>IFERROR(VLOOKUP(A20,'Product Master'!D:N,10,0)*E20,"")</f>
        <v>12000</v>
      </c>
      <c r="G20" s="9">
        <f>IFERROR(VLOOKUP(A20,'Product Master'!D:N,11,0)*E20,"")</f>
        <v>15000</v>
      </c>
      <c r="H20" s="8">
        <f>SUMIFS('Product Master'!G:G,'Product Master'!D:D,Inventory!A20)+SUMIFS('Stock In-Out'!I:I,'Stock In-Out'!A:A,Inventory!A20)-SUMIFS('Stock In-Out'!J:J,'Stock In-Out'!A:A,Inventory!A20)</f>
        <v>1</v>
      </c>
      <c r="I20" s="8">
        <f>SUMIFS('Product Master'!H:H,'Product Master'!D:D,Inventory!A20)+SUMIFS('Stock In-Out'!K:K,'Stock In-Out'!A:A,Inventory!A20)-SUMIFS('Stock In-Out'!L:L,'Stock In-Out'!A:A,Inventory!A20)</f>
        <v>0</v>
      </c>
      <c r="J20" s="8">
        <f>SUMIFS('Product Master'!I:I,'Product Master'!D:D,Inventory!A20)+SUMIFS('Stock In-Out'!M:M,'Stock In-Out'!A:A,Inventory!A20)-SUMIFS('Stock In-Out'!N:N,'Stock In-Out'!A:A,Inventory!A20)</f>
        <v>0</v>
      </c>
      <c r="K20" s="8" t="str">
        <f>IFERROR(VLOOKUP(A20,'Product Master'!D:N,7,0),"")</f>
        <v>STORE ROOM 3</v>
      </c>
      <c r="L20" s="6" t="str">
        <f>IFERROR(VLOOKUP(A20,'Product Master'!D19:F20016,3,0),"")</f>
        <v>USABLE</v>
      </c>
    </row>
    <row r="21" spans="1:12" x14ac:dyDescent="0.2">
      <c r="A21" s="1" t="s">
        <v>96</v>
      </c>
      <c r="B21" s="8">
        <f>SUMIFS('Stock In-Out'!D:D,'Stock In-Out'!B:B,"Opening Stock",'Stock In-Out'!A:A,Inventory!A21)</f>
        <v>3</v>
      </c>
      <c r="C21" s="8">
        <f>SUMIFS('Stock In-Out'!D:D,'Stock In-Out'!B:B,"In",'Stock In-Out'!A:A,Inventory!A21)</f>
        <v>0</v>
      </c>
      <c r="D21" s="8">
        <f>SUMIFS('Stock In-Out'!D:D,'Stock In-Out'!B:B,"Out",'Stock In-Out'!A:A,Inventory!A21)</f>
        <v>0</v>
      </c>
      <c r="E21" s="8">
        <f t="shared" si="0"/>
        <v>3</v>
      </c>
      <c r="F21" s="8">
        <f>IFERROR(VLOOKUP(A21,'Product Master'!D:N,10,0)*E21,"")</f>
        <v>195000</v>
      </c>
      <c r="G21" s="9">
        <f>IFERROR(VLOOKUP(A21,'Product Master'!D:N,11,0)*E21,"")</f>
        <v>105000</v>
      </c>
      <c r="H21" s="8">
        <f>SUMIFS('Product Master'!G:G,'Product Master'!D:D,Inventory!A21)+SUMIFS('Stock In-Out'!I:I,'Stock In-Out'!A:A,Inventory!A21)-SUMIFS('Stock In-Out'!J:J,'Stock In-Out'!A:A,Inventory!A21)</f>
        <v>0</v>
      </c>
      <c r="I21" s="8">
        <f>SUMIFS('Product Master'!H:H,'Product Master'!D:D,Inventory!A21)+SUMIFS('Stock In-Out'!K:K,'Stock In-Out'!A:A,Inventory!A21)-SUMIFS('Stock In-Out'!L:L,'Stock In-Out'!A:A,Inventory!A21)</f>
        <v>2</v>
      </c>
      <c r="J21" s="8">
        <f>SUMIFS('Product Master'!I:I,'Product Master'!D:D,Inventory!A21)+SUMIFS('Stock In-Out'!M:M,'Stock In-Out'!A:A,Inventory!A21)-SUMIFS('Stock In-Out'!N:N,'Stock In-Out'!A:A,Inventory!A21)</f>
        <v>0</v>
      </c>
      <c r="K21" s="8" t="str">
        <f>IFERROR(VLOOKUP(A21,'Product Master'!D:N,7,0),"")</f>
        <v>STORE ROOM 3</v>
      </c>
      <c r="L21" s="6" t="str">
        <f>IFERROR(VLOOKUP(A21,'Product Master'!D20:F20017,3,0),"")</f>
        <v>DAMAGED</v>
      </c>
    </row>
    <row r="22" spans="1:12" x14ac:dyDescent="0.2">
      <c r="A22" s="1" t="s">
        <v>150</v>
      </c>
      <c r="B22" s="8">
        <f>SUMIFS('Stock In-Out'!D:D,'Stock In-Out'!B:B,"Opening Stock",'Stock In-Out'!A:A,Inventory!A22)</f>
        <v>19</v>
      </c>
      <c r="C22" s="8">
        <f>SUMIFS('Stock In-Out'!D:D,'Stock In-Out'!B:B,"In",'Stock In-Out'!A:A,Inventory!A22)</f>
        <v>0</v>
      </c>
      <c r="D22" s="8">
        <f>SUMIFS('Stock In-Out'!D:D,'Stock In-Out'!B:B,"Out",'Stock In-Out'!A:A,Inventory!A22)</f>
        <v>0</v>
      </c>
      <c r="E22" s="8">
        <f t="shared" si="0"/>
        <v>19</v>
      </c>
      <c r="F22" s="8">
        <f>IFERROR(VLOOKUP(A22,'Product Master'!D:N,10,0)*E22,"")</f>
        <v>190000</v>
      </c>
      <c r="G22" s="9">
        <f>IFERROR(VLOOKUP(A22,'Product Master'!D:N,11,0)*E22,"")</f>
        <v>95000</v>
      </c>
      <c r="H22" s="8">
        <f>SUMIFS('Product Master'!G:G,'Product Master'!D:D,Inventory!A22)+SUMIFS('Stock In-Out'!I:I,'Stock In-Out'!A:A,Inventory!A22)-SUMIFS('Stock In-Out'!J:J,'Stock In-Out'!A:A,Inventory!A22)</f>
        <v>0</v>
      </c>
      <c r="I22" s="8">
        <f>SUMIFS('Product Master'!H:H,'Product Master'!D:D,Inventory!A22)+SUMIFS('Stock In-Out'!K:K,'Stock In-Out'!A:A,Inventory!A22)-SUMIFS('Stock In-Out'!L:L,'Stock In-Out'!A:A,Inventory!A22)</f>
        <v>19</v>
      </c>
      <c r="J22" s="8">
        <f>SUMIFS('Product Master'!I:I,'Product Master'!D:D,Inventory!A22)+SUMIFS('Stock In-Out'!M:M,'Stock In-Out'!A:A,Inventory!A22)-SUMIFS('Stock In-Out'!N:N,'Stock In-Out'!A:A,Inventory!A22)</f>
        <v>0</v>
      </c>
      <c r="K22" s="8" t="str">
        <f>IFERROR(VLOOKUP(A22,'Product Master'!D:N,7,0),"")</f>
        <v>STORE ROOM 3</v>
      </c>
      <c r="L22" s="6" t="str">
        <f>IFERROR(VLOOKUP(A22,'Product Master'!D21:F20018,3,0),"")</f>
        <v>DAMAGED</v>
      </c>
    </row>
    <row r="23" spans="1:12" x14ac:dyDescent="0.2">
      <c r="A23" s="1" t="s">
        <v>97</v>
      </c>
      <c r="B23" s="8">
        <f>SUMIFS('Stock In-Out'!D:D,'Stock In-Out'!B:B,"Opening Stock",'Stock In-Out'!A:A,Inventory!A23)</f>
        <v>33</v>
      </c>
      <c r="C23" s="8">
        <f>SUMIFS('Stock In-Out'!D:D,'Stock In-Out'!B:B,"In",'Stock In-Out'!A:A,Inventory!A23)</f>
        <v>0</v>
      </c>
      <c r="D23" s="8">
        <f>SUMIFS('Stock In-Out'!D:D,'Stock In-Out'!B:B,"Out",'Stock In-Out'!A:A,Inventory!A23)</f>
        <v>0</v>
      </c>
      <c r="E23" s="8">
        <f t="shared" si="0"/>
        <v>33</v>
      </c>
      <c r="F23" s="8">
        <f>IFERROR(VLOOKUP(A23,'Product Master'!D:N,10,0)*E23,"")</f>
        <v>660000</v>
      </c>
      <c r="G23" s="9">
        <f>IFERROR(VLOOKUP(A23,'Product Master'!D:N,11,0)*E23,"")</f>
        <v>231000</v>
      </c>
      <c r="H23" s="8">
        <f>SUMIFS('Product Master'!G:G,'Product Master'!D:D,Inventory!A23)+SUMIFS('Stock In-Out'!I:I,'Stock In-Out'!A:A,Inventory!A23)-SUMIFS('Stock In-Out'!J:J,'Stock In-Out'!A:A,Inventory!A23)</f>
        <v>5</v>
      </c>
      <c r="I23" s="8">
        <f>SUMIFS('Product Master'!H:H,'Product Master'!D:D,Inventory!A23)+SUMIFS('Stock In-Out'!K:K,'Stock In-Out'!A:A,Inventory!A23)-SUMIFS('Stock In-Out'!L:L,'Stock In-Out'!A:A,Inventory!A23)</f>
        <v>28</v>
      </c>
      <c r="J23" s="8">
        <f>SUMIFS('Product Master'!I:I,'Product Master'!D:D,Inventory!A23)+SUMIFS('Stock In-Out'!M:M,'Stock In-Out'!A:A,Inventory!A23)-SUMIFS('Stock In-Out'!N:N,'Stock In-Out'!A:A,Inventory!A23)</f>
        <v>0</v>
      </c>
      <c r="K23" s="8" t="str">
        <f>IFERROR(VLOOKUP(A23,'Product Master'!D:N,7,0),"")</f>
        <v>STORE ROOM 3</v>
      </c>
      <c r="L23" s="6" t="str">
        <f>IFERROR(VLOOKUP(A23,'Product Master'!D22:F20019,3,0),"")</f>
        <v>DAMAGED</v>
      </c>
    </row>
    <row r="24" spans="1:12" x14ac:dyDescent="0.2">
      <c r="A24" s="1" t="s">
        <v>98</v>
      </c>
      <c r="B24" s="8">
        <f>SUMIFS('Stock In-Out'!D:D,'Stock In-Out'!B:B,"Opening Stock",'Stock In-Out'!A:A,Inventory!A24)</f>
        <v>4</v>
      </c>
      <c r="C24" s="8">
        <f>SUMIFS('Stock In-Out'!D:D,'Stock In-Out'!B:B,"In",'Stock In-Out'!A:A,Inventory!A24)</f>
        <v>0</v>
      </c>
      <c r="D24" s="8">
        <f>SUMIFS('Stock In-Out'!D:D,'Stock In-Out'!B:B,"Out",'Stock In-Out'!A:A,Inventory!A24)</f>
        <v>0</v>
      </c>
      <c r="E24" s="8">
        <f t="shared" si="0"/>
        <v>4</v>
      </c>
      <c r="F24" s="8">
        <f>IFERROR(VLOOKUP(A24,'Product Master'!D:N,10,0)*E24,"")</f>
        <v>10000</v>
      </c>
      <c r="G24" s="9">
        <f>IFERROR(VLOOKUP(A24,'Product Master'!D:N,11,0)*E24,"")</f>
        <v>400</v>
      </c>
      <c r="H24" s="8">
        <f>SUMIFS('Product Master'!G:G,'Product Master'!D:D,Inventory!A24)+SUMIFS('Stock In-Out'!I:I,'Stock In-Out'!A:A,Inventory!A24)-SUMIFS('Stock In-Out'!J:J,'Stock In-Out'!A:A,Inventory!A24)</f>
        <v>0</v>
      </c>
      <c r="I24" s="8">
        <f>SUMIFS('Product Master'!H:H,'Product Master'!D:D,Inventory!A24)+SUMIFS('Stock In-Out'!K:K,'Stock In-Out'!A:A,Inventory!A24)-SUMIFS('Stock In-Out'!L:L,'Stock In-Out'!A:A,Inventory!A24)</f>
        <v>4</v>
      </c>
      <c r="J24" s="8">
        <f>SUMIFS('Product Master'!I:I,'Product Master'!D:D,Inventory!A24)+SUMIFS('Stock In-Out'!M:M,'Stock In-Out'!A:A,Inventory!A24)-SUMIFS('Stock In-Out'!N:N,'Stock In-Out'!A:A,Inventory!A24)</f>
        <v>0</v>
      </c>
      <c r="K24" s="8" t="str">
        <f>IFERROR(VLOOKUP(A24,'Product Master'!D:N,7,0),"")</f>
        <v>STORE ROOM 3</v>
      </c>
      <c r="L24" s="6" t="str">
        <f>IFERROR(VLOOKUP(A24,'Product Master'!D23:F20020,3,0),"")</f>
        <v>DAMAGED</v>
      </c>
    </row>
    <row r="25" spans="1:12" x14ac:dyDescent="0.2">
      <c r="A25" s="1" t="s">
        <v>153</v>
      </c>
      <c r="B25" s="8">
        <f>SUMIFS('Stock In-Out'!D:D,'Stock In-Out'!B:B,"Opening Stock",'Stock In-Out'!A:A,Inventory!A25)</f>
        <v>6</v>
      </c>
      <c r="C25" s="8">
        <f>SUMIFS('Stock In-Out'!D:D,'Stock In-Out'!B:B,"In",'Stock In-Out'!A:A,Inventory!A25)</f>
        <v>0</v>
      </c>
      <c r="D25" s="8">
        <f>SUMIFS('Stock In-Out'!D:D,'Stock In-Out'!B:B,"Out",'Stock In-Out'!A:A,Inventory!A25)</f>
        <v>0</v>
      </c>
      <c r="E25" s="8">
        <f t="shared" si="0"/>
        <v>6</v>
      </c>
      <c r="F25" s="8">
        <f>IFERROR(VLOOKUP(A25,'Product Master'!D:N,10,0)*E25,"")</f>
        <v>24000</v>
      </c>
      <c r="G25" s="9">
        <f>IFERROR(VLOOKUP(A25,'Product Master'!D:N,11,0)*E25,"")</f>
        <v>9000</v>
      </c>
      <c r="H25" s="8">
        <f>SUMIFS('Product Master'!G:G,'Product Master'!D:D,Inventory!A25)+SUMIFS('Stock In-Out'!I:I,'Stock In-Out'!A:A,Inventory!A25)-SUMIFS('Stock In-Out'!J:J,'Stock In-Out'!A:A,Inventory!A25)</f>
        <v>2</v>
      </c>
      <c r="I25" s="8">
        <f>SUMIFS('Product Master'!H:H,'Product Master'!D:D,Inventory!A25)+SUMIFS('Stock In-Out'!K:K,'Stock In-Out'!A:A,Inventory!A25)-SUMIFS('Stock In-Out'!L:L,'Stock In-Out'!A:A,Inventory!A25)</f>
        <v>4</v>
      </c>
      <c r="J25" s="8">
        <f>SUMIFS('Product Master'!I:I,'Product Master'!D:D,Inventory!A25)+SUMIFS('Stock In-Out'!M:M,'Stock In-Out'!A:A,Inventory!A25)-SUMIFS('Stock In-Out'!N:N,'Stock In-Out'!A:A,Inventory!A25)</f>
        <v>0</v>
      </c>
      <c r="K25" s="8" t="str">
        <f>IFERROR(VLOOKUP(A25,'Product Master'!D:N,7,0),"")</f>
        <v>STORE ROOM 3</v>
      </c>
      <c r="L25" s="6" t="str">
        <f>IFERROR(VLOOKUP(A25,'Product Master'!D24:F20021,3,0),"")</f>
        <v>DAMAGED</v>
      </c>
    </row>
    <row r="26" spans="1:12" x14ac:dyDescent="0.2">
      <c r="A26" s="1" t="s">
        <v>100</v>
      </c>
      <c r="B26" s="8">
        <f>SUMIFS('Stock In-Out'!D:D,'Stock In-Out'!B:B,"Opening Stock",'Stock In-Out'!A:A,Inventory!A26)</f>
        <v>10</v>
      </c>
      <c r="C26" s="8">
        <f>SUMIFS('Stock In-Out'!D:D,'Stock In-Out'!B:B,"In",'Stock In-Out'!A:A,Inventory!A26)</f>
        <v>0</v>
      </c>
      <c r="D26" s="8">
        <f>SUMIFS('Stock In-Out'!D:D,'Stock In-Out'!B:B,"Out",'Stock In-Out'!A:A,Inventory!A26)</f>
        <v>0</v>
      </c>
      <c r="E26" s="8">
        <f t="shared" si="0"/>
        <v>10</v>
      </c>
      <c r="F26" s="8">
        <f>IFERROR(VLOOKUP(A26,'Product Master'!D:N,10,0)*E26,"")</f>
        <v>35000</v>
      </c>
      <c r="G26" s="9">
        <f>IFERROR(VLOOKUP(A26,'Product Master'!D:N,11,0)*E26,"")</f>
        <v>5000</v>
      </c>
      <c r="H26" s="8">
        <f>SUMIFS('Product Master'!G:G,'Product Master'!D:D,Inventory!A26)+SUMIFS('Stock In-Out'!I:I,'Stock In-Out'!A:A,Inventory!A26)-SUMIFS('Stock In-Out'!J:J,'Stock In-Out'!A:A,Inventory!A26)</f>
        <v>7</v>
      </c>
      <c r="I26" s="8">
        <f>SUMIFS('Product Master'!H:H,'Product Master'!D:D,Inventory!A26)+SUMIFS('Stock In-Out'!K:K,'Stock In-Out'!A:A,Inventory!A26)-SUMIFS('Stock In-Out'!L:L,'Stock In-Out'!A:A,Inventory!A26)</f>
        <v>4</v>
      </c>
      <c r="J26" s="8">
        <f>SUMIFS('Product Master'!I:I,'Product Master'!D:D,Inventory!A26)+SUMIFS('Stock In-Out'!M:M,'Stock In-Out'!A:A,Inventory!A26)-SUMIFS('Stock In-Out'!N:N,'Stock In-Out'!A:A,Inventory!A26)</f>
        <v>0</v>
      </c>
      <c r="K26" s="8" t="str">
        <f>IFERROR(VLOOKUP(A26,'Product Master'!D:N,7,0),"")</f>
        <v>STORE ROOM 3</v>
      </c>
      <c r="L26" s="6" t="str">
        <f>IFERROR(VLOOKUP(A26,'Product Master'!D25:F20022,3,0),"")</f>
        <v>USABLE</v>
      </c>
    </row>
    <row r="27" spans="1:12" x14ac:dyDescent="0.2">
      <c r="A27" s="1" t="s">
        <v>101</v>
      </c>
      <c r="B27" s="8">
        <f>SUMIFS('Stock In-Out'!D:D,'Stock In-Out'!B:B,"Opening Stock",'Stock In-Out'!A:A,Inventory!A27)</f>
        <v>152</v>
      </c>
      <c r="C27" s="8">
        <f>SUMIFS('Stock In-Out'!D:D,'Stock In-Out'!B:B,"In",'Stock In-Out'!A:A,Inventory!A27)</f>
        <v>0</v>
      </c>
      <c r="D27" s="8">
        <f>SUMIFS('Stock In-Out'!D:D,'Stock In-Out'!B:B,"Out",'Stock In-Out'!A:A,Inventory!A27)</f>
        <v>0</v>
      </c>
      <c r="E27" s="8">
        <f t="shared" si="0"/>
        <v>152</v>
      </c>
      <c r="F27" s="8">
        <f>IFERROR(VLOOKUP(A27,'Product Master'!D:N,10,0)*E27,"")</f>
        <v>76000</v>
      </c>
      <c r="G27" s="9">
        <f>IFERROR(VLOOKUP(A27,'Product Master'!D:N,11,0)*E27,"")</f>
        <v>45600</v>
      </c>
      <c r="H27" s="8">
        <f>SUMIFS('Product Master'!G:G,'Product Master'!D:D,Inventory!A27)+SUMIFS('Stock In-Out'!I:I,'Stock In-Out'!A:A,Inventory!A27)-SUMIFS('Stock In-Out'!J:J,'Stock In-Out'!A:A,Inventory!A27)</f>
        <v>152</v>
      </c>
      <c r="I27" s="8">
        <f>SUMIFS('Product Master'!H:H,'Product Master'!D:D,Inventory!A27)+SUMIFS('Stock In-Out'!K:K,'Stock In-Out'!A:A,Inventory!A27)-SUMIFS('Stock In-Out'!L:L,'Stock In-Out'!A:A,Inventory!A27)</f>
        <v>0</v>
      </c>
      <c r="J27" s="8">
        <f>SUMIFS('Product Master'!I:I,'Product Master'!D:D,Inventory!A27)+SUMIFS('Stock In-Out'!M:M,'Stock In-Out'!A:A,Inventory!A27)-SUMIFS('Stock In-Out'!N:N,'Stock In-Out'!A:A,Inventory!A27)</f>
        <v>0</v>
      </c>
      <c r="K27" s="8" t="str">
        <f>IFERROR(VLOOKUP(A27,'Product Master'!D:N,7,0),"")</f>
        <v>STORE ROOM 3</v>
      </c>
      <c r="L27" s="6" t="str">
        <f>IFERROR(VLOOKUP(A27,'Product Master'!D26:F20023,3,0),"")</f>
        <v>USABLE</v>
      </c>
    </row>
    <row r="28" spans="1:12" x14ac:dyDescent="0.2">
      <c r="A28" s="1" t="s">
        <v>102</v>
      </c>
      <c r="B28" s="8">
        <f>SUMIFS('Stock In-Out'!D:D,'Stock In-Out'!B:B,"Opening Stock",'Stock In-Out'!A:A,Inventory!A28)</f>
        <v>1</v>
      </c>
      <c r="C28" s="8">
        <f>SUMIFS('Stock In-Out'!D:D,'Stock In-Out'!B:B,"In",'Stock In-Out'!A:A,Inventory!A28)</f>
        <v>0</v>
      </c>
      <c r="D28" s="8">
        <f>SUMIFS('Stock In-Out'!D:D,'Stock In-Out'!B:B,"Out",'Stock In-Out'!A:A,Inventory!A28)</f>
        <v>0</v>
      </c>
      <c r="E28" s="8">
        <f t="shared" si="0"/>
        <v>1</v>
      </c>
      <c r="F28" s="8">
        <f>IFERROR(VLOOKUP(A28,'Product Master'!D:N,10,0)*E28,"")</f>
        <v>3000</v>
      </c>
      <c r="G28" s="9">
        <f>IFERROR(VLOOKUP(A28,'Product Master'!D:N,11,0)*E28,"")</f>
        <v>500</v>
      </c>
      <c r="H28" s="8">
        <f>SUMIFS('Product Master'!G:G,'Product Master'!D:D,Inventory!A28)+SUMIFS('Stock In-Out'!I:I,'Stock In-Out'!A:A,Inventory!A28)-SUMIFS('Stock In-Out'!J:J,'Stock In-Out'!A:A,Inventory!A28)</f>
        <v>0</v>
      </c>
      <c r="I28" s="8">
        <f>SUMIFS('Product Master'!H:H,'Product Master'!D:D,Inventory!A28)+SUMIFS('Stock In-Out'!K:K,'Stock In-Out'!A:A,Inventory!A28)-SUMIFS('Stock In-Out'!L:L,'Stock In-Out'!A:A,Inventory!A28)</f>
        <v>0</v>
      </c>
      <c r="J28" s="8">
        <f>SUMIFS('Product Master'!I:I,'Product Master'!D:D,Inventory!A28)+SUMIFS('Stock In-Out'!M:M,'Stock In-Out'!A:A,Inventory!A28)-SUMIFS('Stock In-Out'!N:N,'Stock In-Out'!A:A,Inventory!A28)</f>
        <v>1</v>
      </c>
      <c r="K28" s="8" t="str">
        <f>IFERROR(VLOOKUP(A28,'Product Master'!D:N,7,0),"")</f>
        <v>STORE ROOM 3</v>
      </c>
      <c r="L28" s="6" t="str">
        <f>IFERROR(VLOOKUP(A28,'Product Master'!D27:F20024,3,0),"")</f>
        <v>REPAIR</v>
      </c>
    </row>
    <row r="29" spans="1:12" x14ac:dyDescent="0.2">
      <c r="A29" s="1" t="s">
        <v>103</v>
      </c>
      <c r="B29" s="8">
        <f>SUMIFS('Stock In-Out'!D:D,'Stock In-Out'!B:B,"Opening Stock",'Stock In-Out'!A:A,Inventory!A29)</f>
        <v>1</v>
      </c>
      <c r="C29" s="8">
        <f>SUMIFS('Stock In-Out'!D:D,'Stock In-Out'!B:B,"In",'Stock In-Out'!A:A,Inventory!A29)</f>
        <v>0</v>
      </c>
      <c r="D29" s="8">
        <f>SUMIFS('Stock In-Out'!D:D,'Stock In-Out'!B:B,"Out",'Stock In-Out'!A:A,Inventory!A29)</f>
        <v>0</v>
      </c>
      <c r="E29" s="8">
        <f t="shared" si="0"/>
        <v>1</v>
      </c>
      <c r="F29" s="8">
        <f>IFERROR(VLOOKUP(A29,'Product Master'!D:N,10,0)*E29,"")</f>
        <v>1500</v>
      </c>
      <c r="G29" s="9">
        <f>IFERROR(VLOOKUP(A29,'Product Master'!D:N,11,0)*E29,"")</f>
        <v>100</v>
      </c>
      <c r="H29" s="8">
        <f>SUMIFS('Product Master'!G:G,'Product Master'!D:D,Inventory!A29)+SUMIFS('Stock In-Out'!I:I,'Stock In-Out'!A:A,Inventory!A29)-SUMIFS('Stock In-Out'!J:J,'Stock In-Out'!A:A,Inventory!A29)</f>
        <v>0</v>
      </c>
      <c r="I29" s="8">
        <f>SUMIFS('Product Master'!H:H,'Product Master'!D:D,Inventory!A29)+SUMIFS('Stock In-Out'!K:K,'Stock In-Out'!A:A,Inventory!A29)-SUMIFS('Stock In-Out'!L:L,'Stock In-Out'!A:A,Inventory!A29)</f>
        <v>1</v>
      </c>
      <c r="J29" s="8">
        <f>SUMIFS('Product Master'!I:I,'Product Master'!D:D,Inventory!A29)+SUMIFS('Stock In-Out'!M:M,'Stock In-Out'!A:A,Inventory!A29)-SUMIFS('Stock In-Out'!N:N,'Stock In-Out'!A:A,Inventory!A29)</f>
        <v>0</v>
      </c>
      <c r="K29" s="8" t="str">
        <f>IFERROR(VLOOKUP(A29,'Product Master'!D:N,7,0),"")</f>
        <v>STORE ROOM 3</v>
      </c>
      <c r="L29" s="6" t="str">
        <f>IFERROR(VLOOKUP(A29,'Product Master'!D28:F20025,3,0),"")</f>
        <v>DAMAGED</v>
      </c>
    </row>
    <row r="30" spans="1:12" x14ac:dyDescent="0.2">
      <c r="A30" s="1" t="s">
        <v>104</v>
      </c>
      <c r="B30" s="8">
        <f>SUMIFS('Stock In-Out'!D:D,'Stock In-Out'!B:B,"Opening Stock",'Stock In-Out'!A:A,Inventory!A30)</f>
        <v>2</v>
      </c>
      <c r="C30" s="8">
        <f>SUMIFS('Stock In-Out'!D:D,'Stock In-Out'!B:B,"In",'Stock In-Out'!A:A,Inventory!A30)</f>
        <v>0</v>
      </c>
      <c r="D30" s="8">
        <f>SUMIFS('Stock In-Out'!D:D,'Stock In-Out'!B:B,"Out",'Stock In-Out'!A:A,Inventory!A30)</f>
        <v>0</v>
      </c>
      <c r="E30" s="8">
        <f t="shared" si="0"/>
        <v>2</v>
      </c>
      <c r="F30" s="8">
        <f>IFERROR(VLOOKUP(A30,'Product Master'!D:N,10,0)*E30,"")</f>
        <v>4000</v>
      </c>
      <c r="G30" s="9">
        <f>IFERROR(VLOOKUP(A30,'Product Master'!D:N,11,0)*E30,"")</f>
        <v>1400</v>
      </c>
      <c r="H30" s="8">
        <f>SUMIFS('Product Master'!G:G,'Product Master'!D:D,Inventory!A30)+SUMIFS('Stock In-Out'!I:I,'Stock In-Out'!A:A,Inventory!A30)-SUMIFS('Stock In-Out'!J:J,'Stock In-Out'!A:A,Inventory!A30)</f>
        <v>1</v>
      </c>
      <c r="I30" s="8">
        <f>SUMIFS('Product Master'!H:H,'Product Master'!D:D,Inventory!A30)+SUMIFS('Stock In-Out'!K:K,'Stock In-Out'!A:A,Inventory!A30)-SUMIFS('Stock In-Out'!L:L,'Stock In-Out'!A:A,Inventory!A30)</f>
        <v>1</v>
      </c>
      <c r="J30" s="8">
        <f>SUMIFS('Product Master'!I:I,'Product Master'!D:D,Inventory!A30)+SUMIFS('Stock In-Out'!M:M,'Stock In-Out'!A:A,Inventory!A30)-SUMIFS('Stock In-Out'!N:N,'Stock In-Out'!A:A,Inventory!A30)</f>
        <v>0</v>
      </c>
      <c r="K30" s="8" t="str">
        <f>IFERROR(VLOOKUP(A30,'Product Master'!D:N,7,0),"")</f>
        <v>STORE ROOM 3</v>
      </c>
      <c r="L30" s="6" t="str">
        <f>IFERROR(VLOOKUP(A30,'Product Master'!D29:F20026,3,0),"")</f>
        <v>USABLE</v>
      </c>
    </row>
    <row r="31" spans="1:12" x14ac:dyDescent="0.2">
      <c r="A31" s="1" t="s">
        <v>106</v>
      </c>
      <c r="B31" s="8">
        <f>SUMIFS('Stock In-Out'!D:D,'Stock In-Out'!B:B,"Opening Stock",'Stock In-Out'!A:A,Inventory!A31)</f>
        <v>6</v>
      </c>
      <c r="C31" s="8">
        <f>SUMIFS('Stock In-Out'!D:D,'Stock In-Out'!B:B,"In",'Stock In-Out'!A:A,Inventory!A31)</f>
        <v>0</v>
      </c>
      <c r="D31" s="8">
        <f>SUMIFS('Stock In-Out'!D:D,'Stock In-Out'!B:B,"Out",'Stock In-Out'!A:A,Inventory!A31)</f>
        <v>0</v>
      </c>
      <c r="E31" s="8">
        <f t="shared" si="0"/>
        <v>6</v>
      </c>
      <c r="F31" s="8">
        <f>IFERROR(VLOOKUP(A31,'Product Master'!D:N,10,0)*E31,"")</f>
        <v>90000</v>
      </c>
      <c r="G31" s="9">
        <f>IFERROR(VLOOKUP(A31,'Product Master'!D:N,11,0)*E31,"")</f>
        <v>96000</v>
      </c>
      <c r="H31" s="8">
        <f>SUMIFS('Product Master'!G:G,'Product Master'!D:D,Inventory!A31)+SUMIFS('Stock In-Out'!I:I,'Stock In-Out'!A:A,Inventory!A31)-SUMIFS('Stock In-Out'!J:J,'Stock In-Out'!A:A,Inventory!A31)</f>
        <v>1</v>
      </c>
      <c r="I31" s="8">
        <f>SUMIFS('Product Master'!H:H,'Product Master'!D:D,Inventory!A31)+SUMIFS('Stock In-Out'!K:K,'Stock In-Out'!A:A,Inventory!A31)-SUMIFS('Stock In-Out'!L:L,'Stock In-Out'!A:A,Inventory!A31)</f>
        <v>5</v>
      </c>
      <c r="J31" s="8">
        <f>SUMIFS('Product Master'!I:I,'Product Master'!D:D,Inventory!A31)+SUMIFS('Stock In-Out'!M:M,'Stock In-Out'!A:A,Inventory!A31)-SUMIFS('Stock In-Out'!N:N,'Stock In-Out'!A:A,Inventory!A31)</f>
        <v>0</v>
      </c>
      <c r="K31" s="8" t="str">
        <f>IFERROR(VLOOKUP(A31,'Product Master'!D:N,7,0),"")</f>
        <v>STORE ROOM 3</v>
      </c>
      <c r="L31" s="6" t="str">
        <f>IFERROR(VLOOKUP(A31,'Product Master'!D30:F20027,3,0),"")</f>
        <v>DAMAGED</v>
      </c>
    </row>
    <row r="32" spans="1:12" x14ac:dyDescent="0.2">
      <c r="A32" s="1" t="s">
        <v>108</v>
      </c>
      <c r="B32" s="8">
        <f>SUMIFS('Stock In-Out'!D:D,'Stock In-Out'!B:B,"Opening Stock",'Stock In-Out'!A:A,Inventory!A32)</f>
        <v>7</v>
      </c>
      <c r="C32" s="8">
        <f>SUMIFS('Stock In-Out'!D:D,'Stock In-Out'!B:B,"In",'Stock In-Out'!A:A,Inventory!A32)</f>
        <v>0</v>
      </c>
      <c r="D32" s="8">
        <f>SUMIFS('Stock In-Out'!D:D,'Stock In-Out'!B:B,"Out",'Stock In-Out'!A:A,Inventory!A32)</f>
        <v>0</v>
      </c>
      <c r="E32" s="8">
        <f t="shared" si="0"/>
        <v>7</v>
      </c>
      <c r="F32" s="8">
        <f>IFERROR(VLOOKUP(A32,'Product Master'!D:N,10,0)*E32,"")</f>
        <v>10500</v>
      </c>
      <c r="G32" s="9">
        <f>IFERROR(VLOOKUP(A32,'Product Master'!D:N,11,0)*E32,"")</f>
        <v>2100</v>
      </c>
      <c r="H32" s="8">
        <f>SUMIFS('Product Master'!G:G,'Product Master'!D:D,Inventory!A32)+SUMIFS('Stock In-Out'!I:I,'Stock In-Out'!A:A,Inventory!A32)-SUMIFS('Stock In-Out'!J:J,'Stock In-Out'!A:A,Inventory!A32)</f>
        <v>0</v>
      </c>
      <c r="I32" s="8">
        <f>SUMIFS('Product Master'!H:H,'Product Master'!D:D,Inventory!A32)+SUMIFS('Stock In-Out'!K:K,'Stock In-Out'!A:A,Inventory!A32)-SUMIFS('Stock In-Out'!L:L,'Stock In-Out'!A:A,Inventory!A32)</f>
        <v>7</v>
      </c>
      <c r="J32" s="8">
        <f>SUMIFS('Product Master'!I:I,'Product Master'!D:D,Inventory!A32)+SUMIFS('Stock In-Out'!M:M,'Stock In-Out'!A:A,Inventory!A32)-SUMIFS('Stock In-Out'!N:N,'Stock In-Out'!A:A,Inventory!A32)</f>
        <v>0</v>
      </c>
      <c r="K32" s="8" t="str">
        <f>IFERROR(VLOOKUP(A32,'Product Master'!D:N,7,0),"")</f>
        <v>STORE ROOM 3</v>
      </c>
      <c r="L32" s="6" t="str">
        <f>IFERROR(VLOOKUP(A32,'Product Master'!D31:F20028,3,0),"")</f>
        <v>DAMAGED</v>
      </c>
    </row>
    <row r="33" spans="1:12" x14ac:dyDescent="0.2">
      <c r="A33" s="1" t="s">
        <v>110</v>
      </c>
      <c r="B33" s="8">
        <f>SUMIFS('Stock In-Out'!D:D,'Stock In-Out'!B:B,"Opening Stock",'Stock In-Out'!A:A,Inventory!A33)</f>
        <v>3</v>
      </c>
      <c r="C33" s="8">
        <f>SUMIFS('Stock In-Out'!D:D,'Stock In-Out'!B:B,"In",'Stock In-Out'!A:A,Inventory!A33)</f>
        <v>0</v>
      </c>
      <c r="D33" s="8">
        <f>SUMIFS('Stock In-Out'!D:D,'Stock In-Out'!B:B,"Out",'Stock In-Out'!A:A,Inventory!A33)</f>
        <v>0</v>
      </c>
      <c r="E33" s="8">
        <f t="shared" si="0"/>
        <v>3</v>
      </c>
      <c r="F33" s="8">
        <f>IFERROR(VLOOKUP(A33,'Product Master'!D:N,10,0)*E33,"")</f>
        <v>45000</v>
      </c>
      <c r="G33" s="9">
        <f>IFERROR(VLOOKUP(A33,'Product Master'!D:N,11,0)*E33,"")</f>
        <v>22500</v>
      </c>
      <c r="H33" s="8">
        <f>SUMIFS('Product Master'!G:G,'Product Master'!D:D,Inventory!A33)+SUMIFS('Stock In-Out'!I:I,'Stock In-Out'!A:A,Inventory!A33)-SUMIFS('Stock In-Out'!J:J,'Stock In-Out'!A:A,Inventory!A33)</f>
        <v>3</v>
      </c>
      <c r="I33" s="8">
        <f>SUMIFS('Product Master'!H:H,'Product Master'!D:D,Inventory!A33)+SUMIFS('Stock In-Out'!K:K,'Stock In-Out'!A:A,Inventory!A33)-SUMIFS('Stock In-Out'!L:L,'Stock In-Out'!A:A,Inventory!A33)</f>
        <v>0</v>
      </c>
      <c r="J33" s="8">
        <f>SUMIFS('Product Master'!I:I,'Product Master'!D:D,Inventory!A33)+SUMIFS('Stock In-Out'!M:M,'Stock In-Out'!A:A,Inventory!A33)-SUMIFS('Stock In-Out'!N:N,'Stock In-Out'!A:A,Inventory!A33)</f>
        <v>0</v>
      </c>
      <c r="K33" s="8" t="str">
        <f>IFERROR(VLOOKUP(A33,'Product Master'!D:N,7,0),"")</f>
        <v>STORE ROOM 3</v>
      </c>
      <c r="L33" s="6" t="str">
        <f>IFERROR(VLOOKUP(A33,'Product Master'!D32:F20029,3,0),"")</f>
        <v>USABLE</v>
      </c>
    </row>
    <row r="34" spans="1:12" x14ac:dyDescent="0.2">
      <c r="A34" s="1" t="s">
        <v>111</v>
      </c>
      <c r="B34" s="8">
        <f>SUMIFS('Stock In-Out'!D:D,'Stock In-Out'!B:B,"Opening Stock",'Stock In-Out'!A:A,Inventory!A34)</f>
        <v>6</v>
      </c>
      <c r="C34" s="8">
        <f>SUMIFS('Stock In-Out'!D:D,'Stock In-Out'!B:B,"In",'Stock In-Out'!A:A,Inventory!A34)</f>
        <v>0</v>
      </c>
      <c r="D34" s="8">
        <f>SUMIFS('Stock In-Out'!D:D,'Stock In-Out'!B:B,"Out",'Stock In-Out'!A:A,Inventory!A34)</f>
        <v>0</v>
      </c>
      <c r="E34" s="8">
        <f t="shared" si="0"/>
        <v>6</v>
      </c>
      <c r="F34" s="8">
        <f>IFERROR(VLOOKUP(A34,'Product Master'!D:N,10,0)*E34,"")</f>
        <v>24000</v>
      </c>
      <c r="G34" s="9">
        <f>IFERROR(VLOOKUP(A34,'Product Master'!D:N,11,0)*E34,"")</f>
        <v>600</v>
      </c>
      <c r="H34" s="8">
        <f>SUMIFS('Product Master'!G:G,'Product Master'!D:D,Inventory!A34)+SUMIFS('Stock In-Out'!I:I,'Stock In-Out'!A:A,Inventory!A34)-SUMIFS('Stock In-Out'!J:J,'Stock In-Out'!A:A,Inventory!A34)</f>
        <v>6</v>
      </c>
      <c r="I34" s="8">
        <f>SUMIFS('Product Master'!H:H,'Product Master'!D:D,Inventory!A34)+SUMIFS('Stock In-Out'!K:K,'Stock In-Out'!A:A,Inventory!A34)-SUMIFS('Stock In-Out'!L:L,'Stock In-Out'!A:A,Inventory!A34)</f>
        <v>0</v>
      </c>
      <c r="J34" s="8">
        <f>SUMIFS('Product Master'!I:I,'Product Master'!D:D,Inventory!A34)+SUMIFS('Stock In-Out'!M:M,'Stock In-Out'!A:A,Inventory!A34)-SUMIFS('Stock In-Out'!N:N,'Stock In-Out'!A:A,Inventory!A34)</f>
        <v>0</v>
      </c>
      <c r="K34" s="8" t="str">
        <f>IFERROR(VLOOKUP(A34,'Product Master'!D:N,7,0),"")</f>
        <v>STORE ROOM 3</v>
      </c>
      <c r="L34" s="6" t="str">
        <f>IFERROR(VLOOKUP(A34,'Product Master'!D33:F20030,3,0),"")</f>
        <v>USABLE</v>
      </c>
    </row>
    <row r="35" spans="1:12" x14ac:dyDescent="0.2">
      <c r="A35" s="16" t="s">
        <v>113</v>
      </c>
      <c r="B35" s="8">
        <f>SUMIFS('Stock In-Out'!D:D,'Stock In-Out'!B:B,"Opening Stock",'Stock In-Out'!A:A,Inventory!A35)</f>
        <v>4</v>
      </c>
      <c r="C35" s="8">
        <f>SUMIFS('Stock In-Out'!D:D,'Stock In-Out'!B:B,"In",'Stock In-Out'!A:A,Inventory!A35)</f>
        <v>0</v>
      </c>
      <c r="D35" s="8">
        <f>SUMIFS('Stock In-Out'!D:D,'Stock In-Out'!B:B,"Out",'Stock In-Out'!A:A,Inventory!A35)</f>
        <v>0</v>
      </c>
      <c r="E35" s="8">
        <f t="shared" si="0"/>
        <v>4</v>
      </c>
      <c r="F35" s="8">
        <f>IFERROR(VLOOKUP(A35,'Product Master'!D:N,10,0)*E35,"")</f>
        <v>260000</v>
      </c>
      <c r="G35" s="9">
        <f>IFERROR(VLOOKUP(A35,'Product Master'!D:N,11,0)*E35,"")</f>
        <v>140000</v>
      </c>
      <c r="H35" s="8">
        <f>SUMIFS('Product Master'!G:G,'Product Master'!D:D,Inventory!A35)+SUMIFS('Stock In-Out'!I:I,'Stock In-Out'!A:A,Inventory!A35)-SUMIFS('Stock In-Out'!J:J,'Stock In-Out'!A:A,Inventory!A35)</f>
        <v>1</v>
      </c>
      <c r="I35" s="8">
        <f>SUMIFS('Product Master'!H:H,'Product Master'!D:D,Inventory!A35)+SUMIFS('Stock In-Out'!K:K,'Stock In-Out'!A:A,Inventory!A35)-SUMIFS('Stock In-Out'!L:L,'Stock In-Out'!A:A,Inventory!A35)</f>
        <v>4</v>
      </c>
      <c r="J35" s="8">
        <f>SUMIFS('Product Master'!I:I,'Product Master'!D:D,Inventory!A35)+SUMIFS('Stock In-Out'!M:M,'Stock In-Out'!A:A,Inventory!A35)-SUMIFS('Stock In-Out'!N:N,'Stock In-Out'!A:A,Inventory!A35)</f>
        <v>0</v>
      </c>
      <c r="K35" s="8" t="str">
        <f>IFERROR(VLOOKUP(A35,'Product Master'!D:N,7,0),"")</f>
        <v>STORE ROOM 3</v>
      </c>
      <c r="L35" s="6" t="str">
        <f>IFERROR(VLOOKUP(A35,'Product Master'!D34:F20031,3,0),"")</f>
        <v>DAMAGED</v>
      </c>
    </row>
    <row r="36" spans="1:12" x14ac:dyDescent="0.2">
      <c r="A36" s="1" t="s">
        <v>114</v>
      </c>
      <c r="B36" s="8">
        <f>SUMIFS('Stock In-Out'!D:D,'Stock In-Out'!B:B,"Opening Stock",'Stock In-Out'!A:A,Inventory!A36)</f>
        <v>2</v>
      </c>
      <c r="C36" s="8">
        <f>SUMIFS('Stock In-Out'!D:D,'Stock In-Out'!B:B,"In",'Stock In-Out'!A:A,Inventory!A36)</f>
        <v>0</v>
      </c>
      <c r="D36" s="8">
        <f>SUMIFS('Stock In-Out'!D:D,'Stock In-Out'!B:B,"Out",'Stock In-Out'!A:A,Inventory!A36)</f>
        <v>0</v>
      </c>
      <c r="E36" s="8">
        <f t="shared" si="0"/>
        <v>2</v>
      </c>
      <c r="F36" s="8">
        <f>IFERROR(VLOOKUP(A36,'Product Master'!D:N,10,0)*E36,"")</f>
        <v>130000</v>
      </c>
      <c r="G36" s="9">
        <f>IFERROR(VLOOKUP(A36,'Product Master'!D:N,11,0)*E36,"")</f>
        <v>70000</v>
      </c>
      <c r="H36" s="8">
        <f>SUMIFS('Product Master'!G:G,'Product Master'!D:D,Inventory!A36)+SUMIFS('Stock In-Out'!I:I,'Stock In-Out'!A:A,Inventory!A36)-SUMIFS('Stock In-Out'!J:J,'Stock In-Out'!A:A,Inventory!A36)</f>
        <v>0</v>
      </c>
      <c r="I36" s="8">
        <f>SUMIFS('Product Master'!H:H,'Product Master'!D:D,Inventory!A36)+SUMIFS('Stock In-Out'!K:K,'Stock In-Out'!A:A,Inventory!A36)-SUMIFS('Stock In-Out'!L:L,'Stock In-Out'!A:A,Inventory!A36)</f>
        <v>0</v>
      </c>
      <c r="J36" s="8">
        <f>SUMIFS('Product Master'!I:I,'Product Master'!D:D,Inventory!A36)+SUMIFS('Stock In-Out'!M:M,'Stock In-Out'!A:A,Inventory!A36)-SUMIFS('Stock In-Out'!N:N,'Stock In-Out'!A:A,Inventory!A36)</f>
        <v>2</v>
      </c>
      <c r="K36" s="8" t="str">
        <f>IFERROR(VLOOKUP(A36,'Product Master'!D:N,7,0),"")</f>
        <v>STORE ROOM 3</v>
      </c>
      <c r="L36" s="6" t="str">
        <f>IFERROR(VLOOKUP(A36,'Product Master'!D35:F20032,3,0),"")</f>
        <v>REPAIR</v>
      </c>
    </row>
    <row r="37" spans="1:12" x14ac:dyDescent="0.2">
      <c r="A37" s="16"/>
      <c r="B37" s="8">
        <f>SUMIFS('Stock In-Out'!D:D,'Stock In-Out'!B:B,"Opening Stock",'Stock In-Out'!A:A,Inventory!A37)</f>
        <v>0</v>
      </c>
      <c r="C37" s="8">
        <f>SUMIFS('Stock In-Out'!D:D,'Stock In-Out'!B:B,"In",'Stock In-Out'!A:A,Inventory!A37)</f>
        <v>0</v>
      </c>
      <c r="D37" s="8">
        <f>SUMIFS('Stock In-Out'!D:D,'Stock In-Out'!B:B,"Out",'Stock In-Out'!A:A,Inventory!A37)</f>
        <v>0</v>
      </c>
      <c r="E37" s="8">
        <f t="shared" si="0"/>
        <v>0</v>
      </c>
      <c r="F37" s="8" t="str">
        <f>IFERROR(VLOOKUP(A37,'Product Master'!D:N,10,0)*E37,"")</f>
        <v/>
      </c>
      <c r="G37" s="9" t="str">
        <f>IFERROR(VLOOKUP(A37,'Product Master'!D:N,11,0)*E37,"")</f>
        <v/>
      </c>
      <c r="H37" s="8">
        <f>SUMIFS('Product Master'!G:G,'Product Master'!D:D,Inventory!A37)+SUMIFS('Stock In-Out'!I:I,'Stock In-Out'!A:A,Inventory!A37)-SUMIFS('Stock In-Out'!J:J,'Stock In-Out'!A:A,Inventory!A37)</f>
        <v>0</v>
      </c>
      <c r="I37" s="8">
        <f>SUMIFS('Product Master'!H:H,'Product Master'!D:D,Inventory!A37)+SUMIFS('Stock In-Out'!K:K,'Stock In-Out'!A:A,Inventory!A37)-SUMIFS('Stock In-Out'!L:L,'Stock In-Out'!A:A,Inventory!A37)</f>
        <v>0</v>
      </c>
      <c r="J37" s="8">
        <f>SUMIFS('Product Master'!I:I,'Product Master'!D:D,Inventory!A37)+SUMIFS('Stock In-Out'!M:M,'Stock In-Out'!A:A,Inventory!A37)-SUMIFS('Stock In-Out'!N:N,'Stock In-Out'!A:A,Inventory!A37)</f>
        <v>0</v>
      </c>
      <c r="K37" s="8" t="str">
        <f>IFERROR(VLOOKUP(A37,'Product Master'!D:N,7,0),"")</f>
        <v/>
      </c>
      <c r="L37" s="6" t="str">
        <f>IFERROR(VLOOKUP(A37,'Product Master'!D36:F20033,3,0),"")</f>
        <v/>
      </c>
    </row>
    <row r="38" spans="1:12" x14ac:dyDescent="0.2">
      <c r="A38" s="1"/>
      <c r="B38" s="8">
        <f>SUMIFS('Stock In-Out'!D:D,'Stock In-Out'!B:B,"Opening Stock",'Stock In-Out'!A:A,Inventory!A38)</f>
        <v>0</v>
      </c>
      <c r="C38" s="8">
        <f>SUMIFS('Stock In-Out'!D:D,'Stock In-Out'!B:B,"In",'Stock In-Out'!A:A,Inventory!A38)</f>
        <v>0</v>
      </c>
      <c r="D38" s="8">
        <f>SUMIFS('Stock In-Out'!D:D,'Stock In-Out'!B:B,"Out",'Stock In-Out'!A:A,Inventory!A38)</f>
        <v>0</v>
      </c>
      <c r="E38" s="8">
        <f t="shared" si="0"/>
        <v>0</v>
      </c>
      <c r="F38" s="8" t="str">
        <f>IFERROR(VLOOKUP(A38,'Product Master'!D:N,10,0)*E38,"")</f>
        <v/>
      </c>
      <c r="G38" s="9" t="str">
        <f>IFERROR(VLOOKUP(A38,'Product Master'!D:N,11,0)*E38,"")</f>
        <v/>
      </c>
      <c r="H38" s="8">
        <f>SUMIFS('Product Master'!G:G,'Product Master'!D:D,Inventory!A38)+SUMIFS('Stock In-Out'!I:I,'Stock In-Out'!A:A,Inventory!A38)-SUMIFS('Stock In-Out'!J:J,'Stock In-Out'!A:A,Inventory!A38)</f>
        <v>0</v>
      </c>
      <c r="I38" s="8">
        <f>SUMIFS('Product Master'!H:H,'Product Master'!D:D,Inventory!A38)+SUMIFS('Stock In-Out'!K:K,'Stock In-Out'!A:A,Inventory!A38)-SUMIFS('Stock In-Out'!L:L,'Stock In-Out'!A:A,Inventory!A38)</f>
        <v>0</v>
      </c>
      <c r="J38" s="8">
        <f>SUMIFS('Product Master'!I:I,'Product Master'!D:D,Inventory!A38)+SUMIFS('Stock In-Out'!M:M,'Stock In-Out'!A:A,Inventory!A38)-SUMIFS('Stock In-Out'!N:N,'Stock In-Out'!A:A,Inventory!A38)</f>
        <v>0</v>
      </c>
      <c r="K38" s="8" t="str">
        <f>IFERROR(VLOOKUP(A38,'Product Master'!D:N,7,0),"")</f>
        <v/>
      </c>
      <c r="L38" s="6" t="str">
        <f>IFERROR(VLOOKUP(A38,'Product Master'!D37:F20034,3,0),"")</f>
        <v/>
      </c>
    </row>
    <row r="39" spans="1:12" x14ac:dyDescent="0.2">
      <c r="A39" s="1"/>
      <c r="B39" s="8">
        <f>SUMIFS('Stock In-Out'!D:D,'Stock In-Out'!B:B,"Opening Stock",'Stock In-Out'!A:A,Inventory!A39)</f>
        <v>0</v>
      </c>
      <c r="C39" s="8">
        <f>SUMIFS('Stock In-Out'!D:D,'Stock In-Out'!B:B,"In",'Stock In-Out'!A:A,Inventory!A39)</f>
        <v>0</v>
      </c>
      <c r="D39" s="8">
        <f>SUMIFS('Stock In-Out'!D:D,'Stock In-Out'!B:B,"Out",'Stock In-Out'!A:A,Inventory!A39)</f>
        <v>0</v>
      </c>
      <c r="E39" s="8">
        <f t="shared" si="0"/>
        <v>0</v>
      </c>
      <c r="F39" s="8" t="str">
        <f>IFERROR(VLOOKUP(A39,'Product Master'!D:N,10,0)*E39,"")</f>
        <v/>
      </c>
      <c r="G39" s="9" t="str">
        <f>IFERROR(VLOOKUP(A39,'Product Master'!D:N,11,0)*E39,"")</f>
        <v/>
      </c>
      <c r="H39" s="8">
        <f>SUMIFS('Product Master'!G:G,'Product Master'!D:D,Inventory!A39)+SUMIFS('Stock In-Out'!I:I,'Stock In-Out'!A:A,Inventory!A39)-SUMIFS('Stock In-Out'!J:J,'Stock In-Out'!A:A,Inventory!A39)</f>
        <v>0</v>
      </c>
      <c r="I39" s="8">
        <f>SUMIFS('Product Master'!H:H,'Product Master'!D:D,Inventory!A39)+SUMIFS('Stock In-Out'!K:K,'Stock In-Out'!A:A,Inventory!A39)-SUMIFS('Stock In-Out'!L:L,'Stock In-Out'!A:A,Inventory!A39)</f>
        <v>0</v>
      </c>
      <c r="J39" s="8">
        <f>SUMIFS('Product Master'!I:I,'Product Master'!D:D,Inventory!A39)+SUMIFS('Stock In-Out'!M:M,'Stock In-Out'!A:A,Inventory!A39)-SUMIFS('Stock In-Out'!N:N,'Stock In-Out'!A:A,Inventory!A39)</f>
        <v>0</v>
      </c>
      <c r="K39" s="8" t="str">
        <f>IFERROR(VLOOKUP(A39,'Product Master'!D:N,7,0),"")</f>
        <v/>
      </c>
      <c r="L39" s="6" t="str">
        <f>IFERROR(VLOOKUP(A39,'Product Master'!D37:F20035,3,0),"")</f>
        <v/>
      </c>
    </row>
    <row r="40" spans="1:12" x14ac:dyDescent="0.2">
      <c r="A40" s="1"/>
      <c r="B40" s="8">
        <f>SUMIFS('Stock In-Out'!D:D,'Stock In-Out'!B:B,"Opening Stock",'Stock In-Out'!A:A,Inventory!A40)</f>
        <v>0</v>
      </c>
      <c r="C40" s="8">
        <f>SUMIFS('Stock In-Out'!D:D,'Stock In-Out'!B:B,"In",'Stock In-Out'!A:A,Inventory!A40)</f>
        <v>0</v>
      </c>
      <c r="D40" s="8">
        <f>SUMIFS('Stock In-Out'!D:D,'Stock In-Out'!B:B,"Out",'Stock In-Out'!A:A,Inventory!A40)</f>
        <v>0</v>
      </c>
      <c r="E40" s="8">
        <f t="shared" si="0"/>
        <v>0</v>
      </c>
      <c r="F40" s="8" t="str">
        <f>IFERROR(VLOOKUP(A40,'Product Master'!D:N,10,0)*E40,"")</f>
        <v/>
      </c>
      <c r="G40" s="9" t="str">
        <f>IFERROR(VLOOKUP(A40,'Product Master'!D:N,11,0)*E40,"")</f>
        <v/>
      </c>
      <c r="H40" s="8">
        <f>SUMIFS('Product Master'!G:G,'Product Master'!D:D,Inventory!A40)+SUMIFS('Stock In-Out'!I:I,'Stock In-Out'!A:A,Inventory!A40)-SUMIFS('Stock In-Out'!J:J,'Stock In-Out'!A:A,Inventory!A40)</f>
        <v>0</v>
      </c>
      <c r="I40" s="8">
        <f>SUMIFS('Product Master'!H:H,'Product Master'!D:D,Inventory!A40)+SUMIFS('Stock In-Out'!K:K,'Stock In-Out'!A:A,Inventory!A40)-SUMIFS('Stock In-Out'!L:L,'Stock In-Out'!A:A,Inventory!A40)</f>
        <v>0</v>
      </c>
      <c r="J40" s="8">
        <f>SUMIFS('Product Master'!I:I,'Product Master'!D:D,Inventory!A40)+SUMIFS('Stock In-Out'!M:M,'Stock In-Out'!A:A,Inventory!A40)-SUMIFS('Stock In-Out'!N:N,'Stock In-Out'!A:A,Inventory!A40)</f>
        <v>0</v>
      </c>
      <c r="K40" s="8" t="str">
        <f>IFERROR(VLOOKUP(A40,'Product Master'!D:N,7,0),"")</f>
        <v/>
      </c>
      <c r="L40" s="6" t="str">
        <f>IFERROR(VLOOKUP(A40,'Product Master'!D37:F20036,3,0),"")</f>
        <v/>
      </c>
    </row>
    <row r="41" spans="1:12" x14ac:dyDescent="0.2">
      <c r="A41" s="1"/>
      <c r="B41" s="8">
        <f>SUMIFS('Stock In-Out'!D:D,'Stock In-Out'!B:B,"Opening Stock",'Stock In-Out'!A:A,Inventory!A41)</f>
        <v>0</v>
      </c>
      <c r="C41" s="8">
        <f>SUMIFS('Stock In-Out'!D:D,'Stock In-Out'!B:B,"In",'Stock In-Out'!A:A,Inventory!A41)</f>
        <v>0</v>
      </c>
      <c r="D41" s="8">
        <f>SUMIFS('Stock In-Out'!D:D,'Stock In-Out'!B:B,"Out",'Stock In-Out'!A:A,Inventory!A41)</f>
        <v>0</v>
      </c>
      <c r="E41" s="8">
        <f t="shared" si="0"/>
        <v>0</v>
      </c>
      <c r="F41" s="8" t="str">
        <f>IFERROR(VLOOKUP(A41,'Product Master'!D:N,10,0)*E41,"")</f>
        <v/>
      </c>
      <c r="G41" s="9" t="str">
        <f>IFERROR(VLOOKUP(A41,'Product Master'!D:N,11,0)*E41,"")</f>
        <v/>
      </c>
      <c r="H41" s="8">
        <f>SUMIFS('Product Master'!G:G,'Product Master'!D:D,Inventory!A41)+SUMIFS('Stock In-Out'!I:I,'Stock In-Out'!A:A,Inventory!A41)-SUMIFS('Stock In-Out'!J:J,'Stock In-Out'!A:A,Inventory!A41)</f>
        <v>0</v>
      </c>
      <c r="I41" s="8">
        <f>SUMIFS('Product Master'!H:H,'Product Master'!D:D,Inventory!A41)+SUMIFS('Stock In-Out'!K:K,'Stock In-Out'!A:A,Inventory!A41)-SUMIFS('Stock In-Out'!L:L,'Stock In-Out'!A:A,Inventory!A41)</f>
        <v>0</v>
      </c>
      <c r="J41" s="8">
        <f>SUMIFS('Product Master'!I:I,'Product Master'!D:D,Inventory!A41)+SUMIFS('Stock In-Out'!M:M,'Stock In-Out'!A:A,Inventory!A41)-SUMIFS('Stock In-Out'!N:N,'Stock In-Out'!A:A,Inventory!A41)</f>
        <v>0</v>
      </c>
      <c r="K41" s="8" t="str">
        <f>IFERROR(VLOOKUP(A41,'Product Master'!D:N,7,0),"")</f>
        <v/>
      </c>
      <c r="L41" s="6" t="str">
        <f>IFERROR(VLOOKUP(A41,'Product Master'!D38:F20037,3,0),"")</f>
        <v/>
      </c>
    </row>
    <row r="42" spans="1:12" x14ac:dyDescent="0.2">
      <c r="A42" s="1"/>
      <c r="B42" s="8">
        <f>SUMIFS('Stock In-Out'!D:D,'Stock In-Out'!B:B,"Opening Stock",'Stock In-Out'!A:A,Inventory!A42)</f>
        <v>0</v>
      </c>
      <c r="C42" s="8">
        <f>SUMIFS('Stock In-Out'!D:D,'Stock In-Out'!B:B,"In",'Stock In-Out'!A:A,Inventory!A42)</f>
        <v>0</v>
      </c>
      <c r="D42" s="8">
        <f>SUMIFS('Stock In-Out'!D:D,'Stock In-Out'!B:B,"Out",'Stock In-Out'!A:A,Inventory!A42)</f>
        <v>0</v>
      </c>
      <c r="E42" s="8">
        <f t="shared" si="0"/>
        <v>0</v>
      </c>
      <c r="F42" s="8" t="str">
        <f>IFERROR(VLOOKUP(A42,'Product Master'!D:N,10,0)*E42,"")</f>
        <v/>
      </c>
      <c r="G42" s="9" t="str">
        <f>IFERROR(VLOOKUP(A42,'Product Master'!D:N,11,0)*E42,"")</f>
        <v/>
      </c>
      <c r="H42" s="8">
        <f>SUMIFS('Product Master'!G:G,'Product Master'!D:D,Inventory!A42)+SUMIFS('Stock In-Out'!I:I,'Stock In-Out'!A:A,Inventory!A42)-SUMIFS('Stock In-Out'!J:J,'Stock In-Out'!A:A,Inventory!A42)</f>
        <v>0</v>
      </c>
      <c r="I42" s="8">
        <f>SUMIFS('Product Master'!H:H,'Product Master'!D:D,Inventory!A42)+SUMIFS('Stock In-Out'!K:K,'Stock In-Out'!A:A,Inventory!A42)-SUMIFS('Stock In-Out'!L:L,'Stock In-Out'!A:A,Inventory!A42)</f>
        <v>0</v>
      </c>
      <c r="J42" s="8">
        <f>SUMIFS('Product Master'!I:I,'Product Master'!D:D,Inventory!A42)+SUMIFS('Stock In-Out'!M:M,'Stock In-Out'!A:A,Inventory!A42)-SUMIFS('Stock In-Out'!N:N,'Stock In-Out'!A:A,Inventory!A42)</f>
        <v>0</v>
      </c>
      <c r="K42" s="8" t="str">
        <f>IFERROR(VLOOKUP(A42,'Product Master'!D:N,7,0),"")</f>
        <v/>
      </c>
      <c r="L42" s="6" t="str">
        <f>IFERROR(VLOOKUP(A42,'Product Master'!D39:F20038,3,0),"")</f>
        <v/>
      </c>
    </row>
    <row r="43" spans="1:12" x14ac:dyDescent="0.2">
      <c r="A43" s="1"/>
      <c r="B43" s="8">
        <f>SUMIFS('Stock In-Out'!D:D,'Stock In-Out'!B:B,"Opening Stock",'Stock In-Out'!A:A,Inventory!A43)</f>
        <v>0</v>
      </c>
      <c r="C43" s="8">
        <f>SUMIFS('Stock In-Out'!D:D,'Stock In-Out'!B:B,"In",'Stock In-Out'!A:A,Inventory!A43)</f>
        <v>0</v>
      </c>
      <c r="D43" s="8">
        <f>SUMIFS('Stock In-Out'!D:D,'Stock In-Out'!B:B,"Out",'Stock In-Out'!A:A,Inventory!A43)</f>
        <v>0</v>
      </c>
      <c r="E43" s="8">
        <f t="shared" si="0"/>
        <v>0</v>
      </c>
      <c r="F43" s="8" t="str">
        <f>IFERROR(VLOOKUP(A43,'Product Master'!D:N,10,0)*E43,"")</f>
        <v/>
      </c>
      <c r="G43" s="9" t="str">
        <f>IFERROR(VLOOKUP(A43,'Product Master'!D:N,11,0)*E43,"")</f>
        <v/>
      </c>
      <c r="H43" s="8">
        <f>SUMIFS('Product Master'!G:G,'Product Master'!D:D,Inventory!A43)+SUMIFS('Stock In-Out'!I:I,'Stock In-Out'!A:A,Inventory!A43)-SUMIFS('Stock In-Out'!J:J,'Stock In-Out'!A:A,Inventory!A43)</f>
        <v>0</v>
      </c>
      <c r="I43" s="8">
        <f>SUMIFS('Product Master'!H:H,'Product Master'!D:D,Inventory!A43)+SUMIFS('Stock In-Out'!K:K,'Stock In-Out'!A:A,Inventory!A43)-SUMIFS('Stock In-Out'!L:L,'Stock In-Out'!A:A,Inventory!A43)</f>
        <v>0</v>
      </c>
      <c r="J43" s="8">
        <f>SUMIFS('Product Master'!I:I,'Product Master'!D:D,Inventory!A43)+SUMIFS('Stock In-Out'!M:M,'Stock In-Out'!A:A,Inventory!A43)-SUMIFS('Stock In-Out'!N:N,'Stock In-Out'!A:A,Inventory!A43)</f>
        <v>0</v>
      </c>
      <c r="K43" s="8" t="str">
        <f>IFERROR(VLOOKUP(A43,'Product Master'!D:N,7,0),"")</f>
        <v/>
      </c>
      <c r="L43" s="6" t="str">
        <f>IFERROR(VLOOKUP(A43,'Product Master'!D40:F20039,3,0),"")</f>
        <v/>
      </c>
    </row>
    <row r="44" spans="1:12" x14ac:dyDescent="0.2">
      <c r="A44" s="1"/>
      <c r="B44" s="8">
        <f>SUMIFS('Stock In-Out'!D:D,'Stock In-Out'!B:B,"Opening Stock",'Stock In-Out'!A:A,Inventory!A44)</f>
        <v>0</v>
      </c>
      <c r="C44" s="8">
        <f>SUMIFS('Stock In-Out'!D:D,'Stock In-Out'!B:B,"In",'Stock In-Out'!A:A,Inventory!A44)</f>
        <v>0</v>
      </c>
      <c r="D44" s="8">
        <f>SUMIFS('Stock In-Out'!D:D,'Stock In-Out'!B:B,"Out",'Stock In-Out'!A:A,Inventory!A44)</f>
        <v>0</v>
      </c>
      <c r="E44" s="8">
        <f t="shared" ref="E44:E69" si="1">B44+C44-D44</f>
        <v>0</v>
      </c>
      <c r="F44" s="8" t="str">
        <f>IFERROR(VLOOKUP(A44,'Product Master'!D:N,10,0)*E44,"")</f>
        <v/>
      </c>
      <c r="G44" s="9" t="str">
        <f>IFERROR(VLOOKUP(A44,'Product Master'!D:N,11,0)*E44,"")</f>
        <v/>
      </c>
      <c r="H44" s="8">
        <f>SUMIFS('Product Master'!G:G,'Product Master'!D:D,Inventory!A44)+SUMIFS('Stock In-Out'!I:I,'Stock In-Out'!A:A,Inventory!A44)-SUMIFS('Stock In-Out'!J:J,'Stock In-Out'!A:A,Inventory!A44)</f>
        <v>0</v>
      </c>
      <c r="I44" s="8">
        <f>SUMIFS('Product Master'!H:H,'Product Master'!D:D,Inventory!A44)+SUMIFS('Stock In-Out'!K:K,'Stock In-Out'!A:A,Inventory!A44)-SUMIFS('Stock In-Out'!L:L,'Stock In-Out'!A:A,Inventory!A44)</f>
        <v>0</v>
      </c>
      <c r="J44" s="8">
        <f>SUMIFS('Product Master'!I:I,'Product Master'!D:D,Inventory!A44)+SUMIFS('Stock In-Out'!M:M,'Stock In-Out'!A:A,Inventory!A44)-SUMIFS('Stock In-Out'!N:N,'Stock In-Out'!A:A,Inventory!A44)</f>
        <v>0</v>
      </c>
      <c r="K44" s="8" t="str">
        <f>IFERROR(VLOOKUP(A44,'Product Master'!D:N,7,0),"")</f>
        <v/>
      </c>
      <c r="L44" s="6" t="str">
        <f>IFERROR(VLOOKUP(A44,'Product Master'!D41:F20040,3,0),"")</f>
        <v/>
      </c>
    </row>
    <row r="45" spans="1:12" x14ac:dyDescent="0.2">
      <c r="A45" s="1"/>
      <c r="B45" s="8">
        <f>SUMIFS('Stock In-Out'!D:D,'Stock In-Out'!B:B,"Opening Stock",'Stock In-Out'!A:A,Inventory!A45)</f>
        <v>0</v>
      </c>
      <c r="C45" s="8">
        <f>SUMIFS('Stock In-Out'!D:D,'Stock In-Out'!B:B,"In",'Stock In-Out'!A:A,Inventory!A45)</f>
        <v>0</v>
      </c>
      <c r="D45" s="8">
        <f>SUMIFS('Stock In-Out'!D:D,'Stock In-Out'!B:B,"Out",'Stock In-Out'!A:A,Inventory!A45)</f>
        <v>0</v>
      </c>
      <c r="E45" s="8">
        <f t="shared" si="1"/>
        <v>0</v>
      </c>
      <c r="F45" s="8" t="str">
        <f>IFERROR(VLOOKUP(A45,'Product Master'!D:N,10,0)*E45,"")</f>
        <v/>
      </c>
      <c r="G45" s="9" t="str">
        <f>IFERROR(VLOOKUP(A45,'Product Master'!D:N,11,0)*E45,"")</f>
        <v/>
      </c>
      <c r="H45" s="8">
        <f>SUMIFS('Product Master'!G:G,'Product Master'!D:D,Inventory!A45)+SUMIFS('Stock In-Out'!I:I,'Stock In-Out'!A:A,Inventory!A45)-SUMIFS('Stock In-Out'!J:J,'Stock In-Out'!A:A,Inventory!A45)</f>
        <v>0</v>
      </c>
      <c r="I45" s="8">
        <f>SUMIFS('Product Master'!H:H,'Product Master'!D:D,Inventory!A45)+SUMIFS('Stock In-Out'!K:K,'Stock In-Out'!A:A,Inventory!A45)-SUMIFS('Stock In-Out'!L:L,'Stock In-Out'!A:A,Inventory!A45)</f>
        <v>0</v>
      </c>
      <c r="J45" s="8">
        <f>SUMIFS('Product Master'!I:I,'Product Master'!D:D,Inventory!A45)+SUMIFS('Stock In-Out'!M:M,'Stock In-Out'!A:A,Inventory!A45)-SUMIFS('Stock In-Out'!N:N,'Stock In-Out'!A:A,Inventory!A45)</f>
        <v>0</v>
      </c>
      <c r="K45" s="8" t="str">
        <f>IFERROR(VLOOKUP(A45,'Product Master'!D:N,7,0),"")</f>
        <v/>
      </c>
      <c r="L45" s="6" t="str">
        <f>IFERROR(VLOOKUP(A45,'Product Master'!D42:F20041,3,0),"")</f>
        <v/>
      </c>
    </row>
    <row r="46" spans="1:12" x14ac:dyDescent="0.2">
      <c r="A46" s="1"/>
      <c r="B46" s="8">
        <f>SUMIFS('Stock In-Out'!D:D,'Stock In-Out'!B:B,"Opening Stock",'Stock In-Out'!A:A,Inventory!A46)</f>
        <v>0</v>
      </c>
      <c r="C46" s="8">
        <f>SUMIFS('Stock In-Out'!D:D,'Stock In-Out'!B:B,"In",'Stock In-Out'!A:A,Inventory!A46)</f>
        <v>0</v>
      </c>
      <c r="D46" s="8">
        <f>SUMIFS('Stock In-Out'!D:D,'Stock In-Out'!B:B,"Out",'Stock In-Out'!A:A,Inventory!A46)</f>
        <v>0</v>
      </c>
      <c r="E46" s="8">
        <f t="shared" si="1"/>
        <v>0</v>
      </c>
      <c r="F46" s="8" t="str">
        <f>IFERROR(VLOOKUP(A46,'Product Master'!D:N,10,0)*E46,"")</f>
        <v/>
      </c>
      <c r="G46" s="9" t="str">
        <f>IFERROR(VLOOKUP(A46,'Product Master'!D:N,11,0)*E46,"")</f>
        <v/>
      </c>
      <c r="H46" s="8">
        <f>SUMIFS('Product Master'!G:G,'Product Master'!D:D,Inventory!A46)+SUMIFS('Stock In-Out'!I:I,'Stock In-Out'!A:A,Inventory!A46)-SUMIFS('Stock In-Out'!J:J,'Stock In-Out'!A:A,Inventory!A46)</f>
        <v>0</v>
      </c>
      <c r="I46" s="8">
        <f>SUMIFS('Product Master'!H:H,'Product Master'!D:D,Inventory!A46)+SUMIFS('Stock In-Out'!K:K,'Stock In-Out'!A:A,Inventory!A46)-SUMIFS('Stock In-Out'!L:L,'Stock In-Out'!A:A,Inventory!A46)</f>
        <v>0</v>
      </c>
      <c r="J46" s="8">
        <f>SUMIFS('Product Master'!I:I,'Product Master'!D:D,Inventory!A46)+SUMIFS('Stock In-Out'!M:M,'Stock In-Out'!A:A,Inventory!A46)-SUMIFS('Stock In-Out'!N:N,'Stock In-Out'!A:A,Inventory!A46)</f>
        <v>0</v>
      </c>
      <c r="K46" s="8" t="str">
        <f>IFERROR(VLOOKUP(A46,'Product Master'!D:N,7,0),"")</f>
        <v/>
      </c>
      <c r="L46" s="6" t="str">
        <f>IFERROR(VLOOKUP(A46,'Product Master'!D43:F20042,3,0),"")</f>
        <v/>
      </c>
    </row>
    <row r="47" spans="1:12" x14ac:dyDescent="0.2">
      <c r="A47" s="1"/>
      <c r="B47" s="8">
        <f>SUMIFS('Stock In-Out'!D:D,'Stock In-Out'!B:B,"Opening Stock",'Stock In-Out'!A:A,Inventory!A47)</f>
        <v>0</v>
      </c>
      <c r="C47" s="8">
        <f>SUMIFS('Stock In-Out'!D:D,'Stock In-Out'!B:B,"In",'Stock In-Out'!A:A,Inventory!A47)</f>
        <v>0</v>
      </c>
      <c r="D47" s="8">
        <f>SUMIFS('Stock In-Out'!D:D,'Stock In-Out'!B:B,"Out",'Stock In-Out'!A:A,Inventory!A47)</f>
        <v>0</v>
      </c>
      <c r="E47" s="8">
        <f t="shared" si="1"/>
        <v>0</v>
      </c>
      <c r="F47" s="8" t="str">
        <f>IFERROR(VLOOKUP(A47,'Product Master'!D:N,10,0)*E47,"")</f>
        <v/>
      </c>
      <c r="G47" s="9" t="str">
        <f>IFERROR(VLOOKUP(A47,'Product Master'!D:N,11,0)*E47,"")</f>
        <v/>
      </c>
      <c r="H47" s="8">
        <f>SUMIFS('Product Master'!G:G,'Product Master'!D:D,Inventory!A47)+SUMIFS('Stock In-Out'!I:I,'Stock In-Out'!A:A,Inventory!A47)-SUMIFS('Stock In-Out'!J:J,'Stock In-Out'!A:A,Inventory!A47)</f>
        <v>0</v>
      </c>
      <c r="I47" s="8">
        <f>SUMIFS('Product Master'!H:H,'Product Master'!D:D,Inventory!A47)+SUMIFS('Stock In-Out'!K:K,'Stock In-Out'!A:A,Inventory!A47)-SUMIFS('Stock In-Out'!L:L,'Stock In-Out'!A:A,Inventory!A47)</f>
        <v>0</v>
      </c>
      <c r="J47" s="8">
        <f>SUMIFS('Product Master'!I:I,'Product Master'!D:D,Inventory!A47)+SUMIFS('Stock In-Out'!M:M,'Stock In-Out'!A:A,Inventory!A47)-SUMIFS('Stock In-Out'!N:N,'Stock In-Out'!A:A,Inventory!A47)</f>
        <v>0</v>
      </c>
      <c r="K47" s="8" t="str">
        <f>IFERROR(VLOOKUP(A47,'Product Master'!D:N,7,0),"")</f>
        <v/>
      </c>
      <c r="L47" s="6" t="str">
        <f>IFERROR(VLOOKUP(A47,'Product Master'!D44:F20043,3,0),"")</f>
        <v/>
      </c>
    </row>
    <row r="48" spans="1:12" x14ac:dyDescent="0.2">
      <c r="A48" s="1"/>
      <c r="B48" s="8">
        <f>SUMIFS('Stock In-Out'!D:D,'Stock In-Out'!B:B,"Opening Stock",'Stock In-Out'!A:A,Inventory!A48)</f>
        <v>0</v>
      </c>
      <c r="C48" s="8">
        <f>SUMIFS('Stock In-Out'!D:D,'Stock In-Out'!B:B,"In",'Stock In-Out'!A:A,Inventory!A48)</f>
        <v>0</v>
      </c>
      <c r="D48" s="8">
        <f>SUMIFS('Stock In-Out'!D:D,'Stock In-Out'!B:B,"Out",'Stock In-Out'!A:A,Inventory!A48)</f>
        <v>0</v>
      </c>
      <c r="E48" s="8">
        <f t="shared" si="1"/>
        <v>0</v>
      </c>
      <c r="F48" s="8" t="str">
        <f>IFERROR(VLOOKUP(A48,'Product Master'!D:N,10,0)*E48,"")</f>
        <v/>
      </c>
      <c r="G48" s="9" t="str">
        <f>IFERROR(VLOOKUP(A48,'Product Master'!D:N,11,0)*E48,"")</f>
        <v/>
      </c>
      <c r="H48" s="8">
        <f>SUMIFS('Product Master'!G:G,'Product Master'!D:D,Inventory!A48)+SUMIFS('Stock In-Out'!I:I,'Stock In-Out'!A:A,Inventory!A48)-SUMIFS('Stock In-Out'!J:J,'Stock In-Out'!A:A,Inventory!A48)</f>
        <v>0</v>
      </c>
      <c r="I48" s="8">
        <f>SUMIFS('Product Master'!H:H,'Product Master'!D:D,Inventory!A48)+SUMIFS('Stock In-Out'!K:K,'Stock In-Out'!A:A,Inventory!A48)-SUMIFS('Stock In-Out'!L:L,'Stock In-Out'!A:A,Inventory!A48)</f>
        <v>0</v>
      </c>
      <c r="J48" s="8">
        <f>SUMIFS('Product Master'!I:I,'Product Master'!D:D,Inventory!A48)+SUMIFS('Stock In-Out'!M:M,'Stock In-Out'!A:A,Inventory!A48)-SUMIFS('Stock In-Out'!N:N,'Stock In-Out'!A:A,Inventory!A48)</f>
        <v>0</v>
      </c>
      <c r="K48" s="8" t="str">
        <f>IFERROR(VLOOKUP(A48,'Product Master'!D:N,7,0),"")</f>
        <v/>
      </c>
      <c r="L48" s="6" t="str">
        <f>IFERROR(VLOOKUP(A48,'Product Master'!D45:F20044,3,0),"")</f>
        <v/>
      </c>
    </row>
    <row r="49" spans="1:12" x14ac:dyDescent="0.2">
      <c r="A49" s="1"/>
      <c r="B49" s="8">
        <f>SUMIFS('Stock In-Out'!D:D,'Stock In-Out'!B:B,"Opening Stock",'Stock In-Out'!A:A,Inventory!A49)</f>
        <v>0</v>
      </c>
      <c r="C49" s="8">
        <f>SUMIFS('Stock In-Out'!D:D,'Stock In-Out'!B:B,"In",'Stock In-Out'!A:A,Inventory!A49)</f>
        <v>0</v>
      </c>
      <c r="D49" s="8">
        <f>SUMIFS('Stock In-Out'!D:D,'Stock In-Out'!B:B,"Out",'Stock In-Out'!A:A,Inventory!A49)</f>
        <v>0</v>
      </c>
      <c r="E49" s="8">
        <f t="shared" si="1"/>
        <v>0</v>
      </c>
      <c r="F49" s="8" t="str">
        <f>IFERROR(VLOOKUP(A49,'Product Master'!D:N,10,0)*E49,"")</f>
        <v/>
      </c>
      <c r="G49" s="9" t="str">
        <f>IFERROR(VLOOKUP(A49,'Product Master'!D:N,11,0)*E49,"")</f>
        <v/>
      </c>
      <c r="H49" s="8">
        <f>SUMIFS('Product Master'!G:G,'Product Master'!D:D,Inventory!A49)+SUMIFS('Stock In-Out'!I:I,'Stock In-Out'!A:A,Inventory!A49)-SUMIFS('Stock In-Out'!J:J,'Stock In-Out'!A:A,Inventory!A49)</f>
        <v>0</v>
      </c>
      <c r="I49" s="8">
        <f>SUMIFS('Product Master'!H:H,'Product Master'!D:D,Inventory!A49)+SUMIFS('Stock In-Out'!K:K,'Stock In-Out'!A:A,Inventory!A49)-SUMIFS('Stock In-Out'!L:L,'Stock In-Out'!A:A,Inventory!A49)</f>
        <v>0</v>
      </c>
      <c r="J49" s="8">
        <f>SUMIFS('Product Master'!I:I,'Product Master'!D:D,Inventory!A49)+SUMIFS('Stock In-Out'!M:M,'Stock In-Out'!A:A,Inventory!A49)-SUMIFS('Stock In-Out'!N:N,'Stock In-Out'!A:A,Inventory!A49)</f>
        <v>0</v>
      </c>
      <c r="K49" s="8" t="str">
        <f>IFERROR(VLOOKUP(A49,'Product Master'!D:N,7,0),"")</f>
        <v/>
      </c>
      <c r="L49" s="6" t="str">
        <f>IFERROR(VLOOKUP(A49,'Product Master'!D46:F20045,3,0),"")</f>
        <v/>
      </c>
    </row>
    <row r="50" spans="1:12" x14ac:dyDescent="0.2">
      <c r="A50" s="1"/>
      <c r="B50" s="8">
        <f>SUMIFS('Stock In-Out'!D:D,'Stock In-Out'!B:B,"Opening Stock",'Stock In-Out'!A:A,Inventory!A50)</f>
        <v>0</v>
      </c>
      <c r="C50" s="8">
        <f>SUMIFS('Stock In-Out'!D:D,'Stock In-Out'!B:B,"In",'Stock In-Out'!A:A,Inventory!A50)</f>
        <v>0</v>
      </c>
      <c r="D50" s="8">
        <f>SUMIFS('Stock In-Out'!D:D,'Stock In-Out'!B:B,"Out",'Stock In-Out'!A:A,Inventory!A50)</f>
        <v>0</v>
      </c>
      <c r="E50" s="8">
        <f t="shared" si="1"/>
        <v>0</v>
      </c>
      <c r="F50" s="8" t="str">
        <f>IFERROR(VLOOKUP(A50,'Product Master'!D:N,10,0)*E50,"")</f>
        <v/>
      </c>
      <c r="G50" s="9" t="str">
        <f>IFERROR(VLOOKUP(A50,'Product Master'!D:N,11,0)*E50,"")</f>
        <v/>
      </c>
      <c r="H50" s="8">
        <f>SUMIFS('Product Master'!G:G,'Product Master'!D:D,Inventory!A50)+SUMIFS('Stock In-Out'!I:I,'Stock In-Out'!A:A,Inventory!A50)-SUMIFS('Stock In-Out'!J:J,'Stock In-Out'!A:A,Inventory!A50)</f>
        <v>0</v>
      </c>
      <c r="I50" s="8">
        <f>SUMIFS('Product Master'!H:H,'Product Master'!D:D,Inventory!A50)+SUMIFS('Stock In-Out'!K:K,'Stock In-Out'!A:A,Inventory!A50)-SUMIFS('Stock In-Out'!L:L,'Stock In-Out'!A:A,Inventory!A50)</f>
        <v>0</v>
      </c>
      <c r="J50" s="8">
        <f>SUMIFS('Product Master'!I:I,'Product Master'!D:D,Inventory!A50)+SUMIFS('Stock In-Out'!M:M,'Stock In-Out'!A:A,Inventory!A50)-SUMIFS('Stock In-Out'!N:N,'Stock In-Out'!A:A,Inventory!A50)</f>
        <v>0</v>
      </c>
      <c r="K50" s="8" t="str">
        <f>IFERROR(VLOOKUP(A50,'Product Master'!D:N,7,0),"")</f>
        <v/>
      </c>
      <c r="L50" s="6" t="str">
        <f>IFERROR(VLOOKUP(A50,'Product Master'!D47:F20046,3,0),"")</f>
        <v/>
      </c>
    </row>
    <row r="51" spans="1:12" x14ac:dyDescent="0.2">
      <c r="A51" s="1"/>
      <c r="B51" s="8">
        <f>SUMIFS('Stock In-Out'!D:D,'Stock In-Out'!B:B,"Opening Stock",'Stock In-Out'!A:A,Inventory!A51)</f>
        <v>0</v>
      </c>
      <c r="C51" s="8">
        <f>SUMIFS('Stock In-Out'!D:D,'Stock In-Out'!B:B,"In",'Stock In-Out'!A:A,Inventory!A51)</f>
        <v>0</v>
      </c>
      <c r="D51" s="8">
        <f>SUMIFS('Stock In-Out'!D:D,'Stock In-Out'!B:B,"Out",'Stock In-Out'!A:A,Inventory!A51)</f>
        <v>0</v>
      </c>
      <c r="E51" s="8">
        <f t="shared" si="1"/>
        <v>0</v>
      </c>
      <c r="F51" s="8" t="str">
        <f>IFERROR(VLOOKUP(A51,'Product Master'!D:N,10,0)*E51,"")</f>
        <v/>
      </c>
      <c r="G51" s="9" t="str">
        <f>IFERROR(VLOOKUP(A51,'Product Master'!D:N,11,0)*E51,"")</f>
        <v/>
      </c>
      <c r="H51" s="8">
        <f>SUMIFS('Product Master'!G:G,'Product Master'!D:D,Inventory!A51)+SUMIFS('Stock In-Out'!I:I,'Stock In-Out'!A:A,Inventory!A51)-SUMIFS('Stock In-Out'!J:J,'Stock In-Out'!A:A,Inventory!A51)</f>
        <v>0</v>
      </c>
      <c r="I51" s="8">
        <f>SUMIFS('Product Master'!H:H,'Product Master'!D:D,Inventory!A51)+SUMIFS('Stock In-Out'!K:K,'Stock In-Out'!A:A,Inventory!A51)-SUMIFS('Stock In-Out'!L:L,'Stock In-Out'!A:A,Inventory!A51)</f>
        <v>0</v>
      </c>
      <c r="J51" s="8">
        <f>SUMIFS('Product Master'!I:I,'Product Master'!D:D,Inventory!A51)+SUMIFS('Stock In-Out'!M:M,'Stock In-Out'!A:A,Inventory!A51)-SUMIFS('Stock In-Out'!N:N,'Stock In-Out'!A:A,Inventory!A51)</f>
        <v>0</v>
      </c>
      <c r="K51" s="8" t="str">
        <f>IFERROR(VLOOKUP(A51,'Product Master'!D:N,7,0),"")</f>
        <v/>
      </c>
      <c r="L51" s="6" t="str">
        <f>IFERROR(VLOOKUP(A51,'Product Master'!D48:F20047,3,0),"")</f>
        <v/>
      </c>
    </row>
    <row r="52" spans="1:12" x14ac:dyDescent="0.2">
      <c r="A52" s="1"/>
      <c r="B52" s="8">
        <f>SUMIFS('Stock In-Out'!D:D,'Stock In-Out'!B:B,"Opening Stock",'Stock In-Out'!A:A,Inventory!A52)</f>
        <v>0</v>
      </c>
      <c r="C52" s="8">
        <f>SUMIFS('Stock In-Out'!D:D,'Stock In-Out'!B:B,"In",'Stock In-Out'!A:A,Inventory!A52)</f>
        <v>0</v>
      </c>
      <c r="D52" s="8">
        <f>SUMIFS('Stock In-Out'!D:D,'Stock In-Out'!B:B,"Out",'Stock In-Out'!A:A,Inventory!A52)</f>
        <v>0</v>
      </c>
      <c r="E52" s="8">
        <f t="shared" si="1"/>
        <v>0</v>
      </c>
      <c r="F52" s="8" t="str">
        <f>IFERROR(VLOOKUP(A52,'Product Master'!D:N,10,0)*E52,"")</f>
        <v/>
      </c>
      <c r="G52" s="9" t="str">
        <f>IFERROR(VLOOKUP(A52,'Product Master'!D:N,11,0)*E52,"")</f>
        <v/>
      </c>
      <c r="H52" s="8">
        <f>SUMIFS('Product Master'!G:G,'Product Master'!D:D,Inventory!A52)+SUMIFS('Stock In-Out'!I:I,'Stock In-Out'!A:A,Inventory!A52)-SUMIFS('Stock In-Out'!J:J,'Stock In-Out'!A:A,Inventory!A52)</f>
        <v>0</v>
      </c>
      <c r="I52" s="8">
        <f>SUMIFS('Product Master'!H:H,'Product Master'!D:D,Inventory!A52)+SUMIFS('Stock In-Out'!K:K,'Stock In-Out'!A:A,Inventory!A52)-SUMIFS('Stock In-Out'!L:L,'Stock In-Out'!A:A,Inventory!A52)</f>
        <v>0</v>
      </c>
      <c r="J52" s="8">
        <f>SUMIFS('Product Master'!I:I,'Product Master'!D:D,Inventory!A52)+SUMIFS('Stock In-Out'!M:M,'Stock In-Out'!A:A,Inventory!A52)-SUMIFS('Stock In-Out'!N:N,'Stock In-Out'!A:A,Inventory!A52)</f>
        <v>0</v>
      </c>
      <c r="K52" s="8" t="str">
        <f>IFERROR(VLOOKUP(A52,'Product Master'!D:N,7,0),"")</f>
        <v/>
      </c>
      <c r="L52" s="6" t="str">
        <f>IFERROR(VLOOKUP(A52,'Product Master'!D49:F20048,3,0),"")</f>
        <v/>
      </c>
    </row>
    <row r="53" spans="1:12" x14ac:dyDescent="0.2">
      <c r="A53" s="1"/>
      <c r="B53" s="8">
        <f>SUMIFS('Stock In-Out'!D:D,'Stock In-Out'!B:B,"Opening Stock",'Stock In-Out'!A:A,Inventory!A53)</f>
        <v>0</v>
      </c>
      <c r="C53" s="8">
        <f>SUMIFS('Stock In-Out'!D:D,'Stock In-Out'!B:B,"In",'Stock In-Out'!A:A,Inventory!A53)</f>
        <v>0</v>
      </c>
      <c r="D53" s="8">
        <f>SUMIFS('Stock In-Out'!D:D,'Stock In-Out'!B:B,"Out",'Stock In-Out'!A:A,Inventory!A53)</f>
        <v>0</v>
      </c>
      <c r="E53" s="8">
        <f t="shared" si="1"/>
        <v>0</v>
      </c>
      <c r="F53" s="8" t="str">
        <f>IFERROR(VLOOKUP(A53,'Product Master'!D:N,10,0)*E53,"")</f>
        <v/>
      </c>
      <c r="G53" s="9" t="str">
        <f>IFERROR(VLOOKUP(A53,'Product Master'!D:N,11,0)*E53,"")</f>
        <v/>
      </c>
      <c r="H53" s="8">
        <f>SUMIFS('Product Master'!G:G,'Product Master'!D:D,Inventory!A53)+SUMIFS('Stock In-Out'!I:I,'Stock In-Out'!A:A,Inventory!A53)-SUMIFS('Stock In-Out'!J:J,'Stock In-Out'!A:A,Inventory!A53)</f>
        <v>0</v>
      </c>
      <c r="I53" s="8">
        <f>SUMIFS('Product Master'!H:H,'Product Master'!D:D,Inventory!A53)+SUMIFS('Stock In-Out'!K:K,'Stock In-Out'!A:A,Inventory!A53)-SUMIFS('Stock In-Out'!L:L,'Stock In-Out'!A:A,Inventory!A53)</f>
        <v>0</v>
      </c>
      <c r="J53" s="8">
        <f>SUMIFS('Product Master'!I:I,'Product Master'!D:D,Inventory!A53)+SUMIFS('Stock In-Out'!M:M,'Stock In-Out'!A:A,Inventory!A53)-SUMIFS('Stock In-Out'!N:N,'Stock In-Out'!A:A,Inventory!A53)</f>
        <v>0</v>
      </c>
      <c r="K53" s="8" t="str">
        <f>IFERROR(VLOOKUP(A53,'Product Master'!D:N,7,0),"")</f>
        <v/>
      </c>
      <c r="L53" s="6" t="str">
        <f>IFERROR(VLOOKUP(A53,'Product Master'!D50:F20049,3,0),"")</f>
        <v/>
      </c>
    </row>
    <row r="54" spans="1:12" x14ac:dyDescent="0.2">
      <c r="A54" s="1"/>
      <c r="B54" s="8">
        <f>SUMIFS('Stock In-Out'!D:D,'Stock In-Out'!B:B,"Opening Stock",'Stock In-Out'!A:A,Inventory!A54)</f>
        <v>0</v>
      </c>
      <c r="C54" s="8">
        <f>SUMIFS('Stock In-Out'!D:D,'Stock In-Out'!B:B,"In",'Stock In-Out'!A:A,Inventory!A54)</f>
        <v>0</v>
      </c>
      <c r="D54" s="8">
        <f>SUMIFS('Stock In-Out'!D:D,'Stock In-Out'!B:B,"Out",'Stock In-Out'!A:A,Inventory!A54)</f>
        <v>0</v>
      </c>
      <c r="E54" s="8">
        <f t="shared" si="1"/>
        <v>0</v>
      </c>
      <c r="F54" s="8" t="str">
        <f>IFERROR(VLOOKUP(A54,'Product Master'!D:N,10,0)*E54,"")</f>
        <v/>
      </c>
      <c r="G54" s="9" t="str">
        <f>IFERROR(VLOOKUP(A54,'Product Master'!D:N,11,0)*E54,"")</f>
        <v/>
      </c>
      <c r="H54" s="8">
        <f>SUMIFS('Product Master'!G:G,'Product Master'!D:D,Inventory!A54)+SUMIFS('Stock In-Out'!I:I,'Stock In-Out'!A:A,Inventory!A54)-SUMIFS('Stock In-Out'!J:J,'Stock In-Out'!A:A,Inventory!A54)</f>
        <v>0</v>
      </c>
      <c r="I54" s="8">
        <f>SUMIFS('Product Master'!H:H,'Product Master'!D:D,Inventory!A54)+SUMIFS('Stock In-Out'!K:K,'Stock In-Out'!A:A,Inventory!A54)-SUMIFS('Stock In-Out'!L:L,'Stock In-Out'!A:A,Inventory!A54)</f>
        <v>0</v>
      </c>
      <c r="J54" s="8">
        <f>SUMIFS('Product Master'!I:I,'Product Master'!D:D,Inventory!A54)+SUMIFS('Stock In-Out'!M:M,'Stock In-Out'!A:A,Inventory!A54)-SUMIFS('Stock In-Out'!N:N,'Stock In-Out'!A:A,Inventory!A54)</f>
        <v>0</v>
      </c>
      <c r="K54" s="8" t="str">
        <f>IFERROR(VLOOKUP(A54,'Product Master'!D:N,7,0),"")</f>
        <v/>
      </c>
      <c r="L54" s="6" t="str">
        <f>IFERROR(VLOOKUP(A54,'Product Master'!D51:F20050,3,0),"")</f>
        <v/>
      </c>
    </row>
    <row r="55" spans="1:12" x14ac:dyDescent="0.2">
      <c r="A55" s="1"/>
      <c r="B55" s="8">
        <f>SUMIFS('Stock In-Out'!D:D,'Stock In-Out'!B:B,"Opening Stock",'Stock In-Out'!A:A,Inventory!A55)</f>
        <v>0</v>
      </c>
      <c r="C55" s="8">
        <f>SUMIFS('Stock In-Out'!D:D,'Stock In-Out'!B:B,"In",'Stock In-Out'!A:A,Inventory!A55)</f>
        <v>0</v>
      </c>
      <c r="D55" s="8">
        <f>SUMIFS('Stock In-Out'!D:D,'Stock In-Out'!B:B,"Out",'Stock In-Out'!A:A,Inventory!A55)</f>
        <v>0</v>
      </c>
      <c r="E55" s="8">
        <f t="shared" si="1"/>
        <v>0</v>
      </c>
      <c r="F55" s="8" t="str">
        <f>IFERROR(VLOOKUP(A55,'Product Master'!D:N,10,0)*E55,"")</f>
        <v/>
      </c>
      <c r="G55" s="9" t="str">
        <f>IFERROR(VLOOKUP(A55,'Product Master'!D:N,11,0)*E55,"")</f>
        <v/>
      </c>
      <c r="H55" s="8">
        <f>SUMIFS('Product Master'!G:G,'Product Master'!D:D,Inventory!A55)+SUMIFS('Stock In-Out'!I:I,'Stock In-Out'!A:A,Inventory!A55)-SUMIFS('Stock In-Out'!J:J,'Stock In-Out'!A:A,Inventory!A55)</f>
        <v>0</v>
      </c>
      <c r="I55" s="8">
        <f>SUMIFS('Product Master'!H:H,'Product Master'!D:D,Inventory!A55)+SUMIFS('Stock In-Out'!K:K,'Stock In-Out'!A:A,Inventory!A55)-SUMIFS('Stock In-Out'!L:L,'Stock In-Out'!A:A,Inventory!A55)</f>
        <v>0</v>
      </c>
      <c r="J55" s="8">
        <f>SUMIFS('Product Master'!I:I,'Product Master'!D:D,Inventory!A55)+SUMIFS('Stock In-Out'!M:M,'Stock In-Out'!A:A,Inventory!A55)-SUMIFS('Stock In-Out'!N:N,'Stock In-Out'!A:A,Inventory!A55)</f>
        <v>0</v>
      </c>
      <c r="K55" s="8" t="str">
        <f>IFERROR(VLOOKUP(A55,'Product Master'!D:N,7,0),"")</f>
        <v/>
      </c>
      <c r="L55" s="6" t="str">
        <f>IFERROR(VLOOKUP(A55,'Product Master'!D52:F20051,3,0),"")</f>
        <v/>
      </c>
    </row>
    <row r="56" spans="1:12" x14ac:dyDescent="0.2">
      <c r="A56" s="1"/>
      <c r="B56" s="8">
        <f>SUMIFS('Stock In-Out'!D:D,'Stock In-Out'!B:B,"Opening Stock",'Stock In-Out'!A:A,Inventory!A56)</f>
        <v>0</v>
      </c>
      <c r="C56" s="8">
        <f>SUMIFS('Stock In-Out'!D:D,'Stock In-Out'!B:B,"In",'Stock In-Out'!A:A,Inventory!A56)</f>
        <v>0</v>
      </c>
      <c r="D56" s="8">
        <f>SUMIFS('Stock In-Out'!D:D,'Stock In-Out'!B:B,"Out",'Stock In-Out'!A:A,Inventory!A56)</f>
        <v>0</v>
      </c>
      <c r="E56" s="8">
        <f t="shared" si="1"/>
        <v>0</v>
      </c>
      <c r="F56" s="8" t="str">
        <f>IFERROR(VLOOKUP(A56,'Product Master'!D:N,10,0)*E56,"")</f>
        <v/>
      </c>
      <c r="G56" s="9" t="str">
        <f>IFERROR(VLOOKUP(A56,'Product Master'!D:N,11,0)*E56,"")</f>
        <v/>
      </c>
      <c r="H56" s="8">
        <f>SUMIFS('Product Master'!G:G,'Product Master'!D:D,Inventory!A56)+SUMIFS('Stock In-Out'!I:I,'Stock In-Out'!A:A,Inventory!A56)-SUMIFS('Stock In-Out'!J:J,'Stock In-Out'!A:A,Inventory!A56)</f>
        <v>0</v>
      </c>
      <c r="I56" s="8">
        <f>SUMIFS('Product Master'!H:H,'Product Master'!D:D,Inventory!A56)+SUMIFS('Stock In-Out'!K:K,'Stock In-Out'!A:A,Inventory!A56)-SUMIFS('Stock In-Out'!L:L,'Stock In-Out'!A:A,Inventory!A56)</f>
        <v>0</v>
      </c>
      <c r="J56" s="8">
        <f>SUMIFS('Product Master'!I:I,'Product Master'!D:D,Inventory!A56)+SUMIFS('Stock In-Out'!M:M,'Stock In-Out'!A:A,Inventory!A56)-SUMIFS('Stock In-Out'!N:N,'Stock In-Out'!A:A,Inventory!A56)</f>
        <v>0</v>
      </c>
      <c r="K56" s="8" t="str">
        <f>IFERROR(VLOOKUP(A56,'Product Master'!D:N,7,0),"")</f>
        <v/>
      </c>
      <c r="L56" s="6" t="str">
        <f>IFERROR(VLOOKUP(A56,'Product Master'!D53:F20052,3,0),"")</f>
        <v/>
      </c>
    </row>
    <row r="57" spans="1:12" x14ac:dyDescent="0.2">
      <c r="A57" s="1"/>
      <c r="B57" s="8">
        <f>SUMIFS('Stock In-Out'!D:D,'Stock In-Out'!B:B,"Opening Stock",'Stock In-Out'!A:A,Inventory!A57)</f>
        <v>0</v>
      </c>
      <c r="C57" s="8">
        <f>SUMIFS('Stock In-Out'!D:D,'Stock In-Out'!B:B,"In",'Stock In-Out'!A:A,Inventory!A57)</f>
        <v>0</v>
      </c>
      <c r="D57" s="8">
        <f>SUMIFS('Stock In-Out'!D:D,'Stock In-Out'!B:B,"Out",'Stock In-Out'!A:A,Inventory!A57)</f>
        <v>0</v>
      </c>
      <c r="E57" s="8">
        <f t="shared" si="1"/>
        <v>0</v>
      </c>
      <c r="F57" s="8" t="str">
        <f>IFERROR(VLOOKUP(A57,'Product Master'!D:N,10,0)*E57,"")</f>
        <v/>
      </c>
      <c r="G57" s="9" t="str">
        <f>IFERROR(VLOOKUP(A57,'Product Master'!D:N,11,0)*E57,"")</f>
        <v/>
      </c>
      <c r="H57" s="8">
        <f>SUMIFS('Product Master'!G:G,'Product Master'!D:D,Inventory!A57)+SUMIFS('Stock In-Out'!I:I,'Stock In-Out'!A:A,Inventory!A57)-SUMIFS('Stock In-Out'!J:J,'Stock In-Out'!A:A,Inventory!A57)</f>
        <v>0</v>
      </c>
      <c r="I57" s="8">
        <f>SUMIFS('Product Master'!H:H,'Product Master'!D:D,Inventory!A57)+SUMIFS('Stock In-Out'!K:K,'Stock In-Out'!A:A,Inventory!A57)-SUMIFS('Stock In-Out'!L:L,'Stock In-Out'!A:A,Inventory!A57)</f>
        <v>0</v>
      </c>
      <c r="J57" s="8">
        <f>SUMIFS('Product Master'!I:I,'Product Master'!D:D,Inventory!A57)+SUMIFS('Stock In-Out'!M:M,'Stock In-Out'!A:A,Inventory!A57)-SUMIFS('Stock In-Out'!N:N,'Stock In-Out'!A:A,Inventory!A57)</f>
        <v>0</v>
      </c>
      <c r="K57" s="8" t="str">
        <f>IFERROR(VLOOKUP(A57,'Product Master'!D:N,7,0),"")</f>
        <v/>
      </c>
      <c r="L57" s="6" t="str">
        <f>IFERROR(VLOOKUP(A57,'Product Master'!D54:F20053,3,0),"")</f>
        <v/>
      </c>
    </row>
    <row r="58" spans="1:12" x14ac:dyDescent="0.2">
      <c r="A58" s="1"/>
      <c r="B58" s="8">
        <f>SUMIFS('Stock In-Out'!D:D,'Stock In-Out'!B:B,"Opening Stock",'Stock In-Out'!A:A,Inventory!A58)</f>
        <v>0</v>
      </c>
      <c r="C58" s="8">
        <f>SUMIFS('Stock In-Out'!D:D,'Stock In-Out'!B:B,"In",'Stock In-Out'!A:A,Inventory!A58)</f>
        <v>0</v>
      </c>
      <c r="D58" s="8">
        <f>SUMIFS('Stock In-Out'!D:D,'Stock In-Out'!B:B,"Out",'Stock In-Out'!A:A,Inventory!A58)</f>
        <v>0</v>
      </c>
      <c r="E58" s="8">
        <f t="shared" si="1"/>
        <v>0</v>
      </c>
      <c r="F58" s="8" t="str">
        <f>IFERROR(VLOOKUP(A58,'Product Master'!D:N,10,0)*E58,"")</f>
        <v/>
      </c>
      <c r="G58" s="9" t="str">
        <f>IFERROR(VLOOKUP(A58,'Product Master'!D:N,11,0)*E58,"")</f>
        <v/>
      </c>
      <c r="H58" s="8">
        <f>SUMIFS('Product Master'!G:G,'Product Master'!D:D,Inventory!A58)+SUMIFS('Stock In-Out'!I:I,'Stock In-Out'!A:A,Inventory!A58)-SUMIFS('Stock In-Out'!J:J,'Stock In-Out'!A:A,Inventory!A58)</f>
        <v>0</v>
      </c>
      <c r="I58" s="8">
        <f>SUMIFS('Product Master'!H:H,'Product Master'!D:D,Inventory!A58)+SUMIFS('Stock In-Out'!K:K,'Stock In-Out'!A:A,Inventory!A58)-SUMIFS('Stock In-Out'!L:L,'Stock In-Out'!A:A,Inventory!A58)</f>
        <v>0</v>
      </c>
      <c r="J58" s="8">
        <f>SUMIFS('Product Master'!I:I,'Product Master'!D:D,Inventory!A58)+SUMIFS('Stock In-Out'!M:M,'Stock In-Out'!A:A,Inventory!A58)-SUMIFS('Stock In-Out'!N:N,'Stock In-Out'!A:A,Inventory!A58)</f>
        <v>0</v>
      </c>
      <c r="K58" s="8" t="str">
        <f>IFERROR(VLOOKUP(A58,'Product Master'!D:N,7,0),"")</f>
        <v/>
      </c>
      <c r="L58" s="6" t="str">
        <f>IFERROR(VLOOKUP(A58,'Product Master'!D55:F20054,3,0),"")</f>
        <v/>
      </c>
    </row>
    <row r="59" spans="1:12" x14ac:dyDescent="0.2">
      <c r="A59" s="1"/>
      <c r="B59" s="8">
        <f>SUMIFS('Stock In-Out'!D:D,'Stock In-Out'!B:B,"Opening Stock",'Stock In-Out'!A:A,Inventory!A59)</f>
        <v>0</v>
      </c>
      <c r="C59" s="8">
        <f>SUMIFS('Stock In-Out'!D:D,'Stock In-Out'!B:B,"In",'Stock In-Out'!A:A,Inventory!A59)</f>
        <v>0</v>
      </c>
      <c r="D59" s="8">
        <f>SUMIFS('Stock In-Out'!D:D,'Stock In-Out'!B:B,"Out",'Stock In-Out'!A:A,Inventory!A59)</f>
        <v>0</v>
      </c>
      <c r="E59" s="8">
        <f t="shared" si="1"/>
        <v>0</v>
      </c>
      <c r="F59" s="8" t="str">
        <f>IFERROR(VLOOKUP(A59,'Product Master'!D:N,10,0)*E59,"")</f>
        <v/>
      </c>
      <c r="G59" s="9" t="str">
        <f>IFERROR(VLOOKUP(A59,'Product Master'!D:N,11,0)*E59,"")</f>
        <v/>
      </c>
      <c r="H59" s="8">
        <f>SUMIFS('Product Master'!G:G,'Product Master'!D:D,Inventory!A59)+SUMIFS('Stock In-Out'!I:I,'Stock In-Out'!A:A,Inventory!A59)-SUMIFS('Stock In-Out'!J:J,'Stock In-Out'!A:A,Inventory!A59)</f>
        <v>0</v>
      </c>
      <c r="I59" s="8">
        <f>SUMIFS('Product Master'!H:H,'Product Master'!D:D,Inventory!A59)+SUMIFS('Stock In-Out'!K:K,'Stock In-Out'!A:A,Inventory!A59)-SUMIFS('Stock In-Out'!L:L,'Stock In-Out'!A:A,Inventory!A59)</f>
        <v>0</v>
      </c>
      <c r="J59" s="8">
        <f>SUMIFS('Product Master'!I:I,'Product Master'!D:D,Inventory!A59)+SUMIFS('Stock In-Out'!M:M,'Stock In-Out'!A:A,Inventory!A59)-SUMIFS('Stock In-Out'!N:N,'Stock In-Out'!A:A,Inventory!A59)</f>
        <v>0</v>
      </c>
      <c r="K59" s="8" t="str">
        <f>IFERROR(VLOOKUP(A59,'Product Master'!D:N,7,0),"")</f>
        <v/>
      </c>
      <c r="L59" s="6" t="str">
        <f>IFERROR(VLOOKUP(A59,'Product Master'!D56:F20055,3,0),"")</f>
        <v/>
      </c>
    </row>
    <row r="60" spans="1:12" x14ac:dyDescent="0.2">
      <c r="A60" s="1"/>
      <c r="B60" s="8">
        <f>SUMIFS('Stock In-Out'!D:D,'Stock In-Out'!B:B,"Opening Stock",'Stock In-Out'!A:A,Inventory!A60)</f>
        <v>0</v>
      </c>
      <c r="C60" s="8">
        <f>SUMIFS('Stock In-Out'!D:D,'Stock In-Out'!B:B,"In",'Stock In-Out'!A:A,Inventory!A60)</f>
        <v>0</v>
      </c>
      <c r="D60" s="8">
        <f>SUMIFS('Stock In-Out'!D:D,'Stock In-Out'!B:B,"Out",'Stock In-Out'!A:A,Inventory!A60)</f>
        <v>0</v>
      </c>
      <c r="E60" s="8">
        <f t="shared" si="1"/>
        <v>0</v>
      </c>
      <c r="F60" s="8" t="str">
        <f>IFERROR(VLOOKUP(A60,'Product Master'!D:N,10,0)*E60,"")</f>
        <v/>
      </c>
      <c r="G60" s="9" t="str">
        <f>IFERROR(VLOOKUP(A60,'Product Master'!D:N,11,0)*E60,"")</f>
        <v/>
      </c>
      <c r="H60" s="8">
        <f>SUMIFS('Product Master'!G:G,'Product Master'!D:D,Inventory!A60)+SUMIFS('Stock In-Out'!I:I,'Stock In-Out'!A:A,Inventory!A60)-SUMIFS('Stock In-Out'!J:J,'Stock In-Out'!A:A,Inventory!A60)</f>
        <v>0</v>
      </c>
      <c r="I60" s="8">
        <f>SUMIFS('Product Master'!H:H,'Product Master'!D:D,Inventory!A60)+SUMIFS('Stock In-Out'!K:K,'Stock In-Out'!A:A,Inventory!A60)-SUMIFS('Stock In-Out'!L:L,'Stock In-Out'!A:A,Inventory!A60)</f>
        <v>0</v>
      </c>
      <c r="J60" s="8">
        <f>SUMIFS('Product Master'!I:I,'Product Master'!D:D,Inventory!A60)+SUMIFS('Stock In-Out'!M:M,'Stock In-Out'!A:A,Inventory!A60)-SUMIFS('Stock In-Out'!N:N,'Stock In-Out'!A:A,Inventory!A60)</f>
        <v>0</v>
      </c>
      <c r="K60" s="8" t="str">
        <f>IFERROR(VLOOKUP(A60,'Product Master'!D:N,7,0),"")</f>
        <v/>
      </c>
      <c r="L60" s="6" t="str">
        <f>IFERROR(VLOOKUP(A60,'Product Master'!D57:F20056,3,0),"")</f>
        <v/>
      </c>
    </row>
    <row r="61" spans="1:12" x14ac:dyDescent="0.2">
      <c r="A61" s="1"/>
      <c r="B61" s="8">
        <f>SUMIFS('Stock In-Out'!D:D,'Stock In-Out'!B:B,"Opening Stock",'Stock In-Out'!A:A,Inventory!A61)</f>
        <v>0</v>
      </c>
      <c r="C61" s="8">
        <f>SUMIFS('Stock In-Out'!D:D,'Stock In-Out'!B:B,"In",'Stock In-Out'!A:A,Inventory!A61)</f>
        <v>0</v>
      </c>
      <c r="D61" s="8">
        <f>SUMIFS('Stock In-Out'!D:D,'Stock In-Out'!B:B,"Out",'Stock In-Out'!A:A,Inventory!A61)</f>
        <v>0</v>
      </c>
      <c r="E61" s="8">
        <f t="shared" si="1"/>
        <v>0</v>
      </c>
      <c r="F61" s="8" t="str">
        <f>IFERROR(VLOOKUP(A61,'Product Master'!D:N,10,0)*E61,"")</f>
        <v/>
      </c>
      <c r="G61" s="9" t="str">
        <f>IFERROR(VLOOKUP(A61,'Product Master'!D:N,11,0)*E61,"")</f>
        <v/>
      </c>
      <c r="H61" s="8">
        <f>SUMIFS('Product Master'!G:G,'Product Master'!D:D,Inventory!A61)+SUMIFS('Stock In-Out'!I:I,'Stock In-Out'!A:A,Inventory!A61)-SUMIFS('Stock In-Out'!J:J,'Stock In-Out'!A:A,Inventory!A61)</f>
        <v>0</v>
      </c>
      <c r="I61" s="8">
        <f>SUMIFS('Product Master'!H:H,'Product Master'!D:D,Inventory!A61)+SUMIFS('Stock In-Out'!K:K,'Stock In-Out'!A:A,Inventory!A61)-SUMIFS('Stock In-Out'!L:L,'Stock In-Out'!A:A,Inventory!A61)</f>
        <v>0</v>
      </c>
      <c r="J61" s="8">
        <f>SUMIFS('Product Master'!I:I,'Product Master'!D:D,Inventory!A61)+SUMIFS('Stock In-Out'!M:M,'Stock In-Out'!A:A,Inventory!A61)-SUMIFS('Stock In-Out'!N:N,'Stock In-Out'!A:A,Inventory!A61)</f>
        <v>0</v>
      </c>
      <c r="K61" s="8" t="str">
        <f>IFERROR(VLOOKUP(A61,'Product Master'!D:N,7,0),"")</f>
        <v/>
      </c>
      <c r="L61" s="6" t="str">
        <f>IFERROR(VLOOKUP(A61,'Product Master'!D58:F20057,3,0),"")</f>
        <v/>
      </c>
    </row>
    <row r="62" spans="1:12" x14ac:dyDescent="0.2">
      <c r="A62" s="1"/>
      <c r="B62" s="8">
        <f>SUMIFS('Stock In-Out'!D:D,'Stock In-Out'!B:B,"Opening Stock",'Stock In-Out'!A:A,Inventory!A62)</f>
        <v>0</v>
      </c>
      <c r="C62" s="8">
        <f>SUMIFS('Stock In-Out'!D:D,'Stock In-Out'!B:B,"In",'Stock In-Out'!A:A,Inventory!A62)</f>
        <v>0</v>
      </c>
      <c r="D62" s="8">
        <f>SUMIFS('Stock In-Out'!D:D,'Stock In-Out'!B:B,"Out",'Stock In-Out'!A:A,Inventory!A62)</f>
        <v>0</v>
      </c>
      <c r="E62" s="8">
        <f t="shared" si="1"/>
        <v>0</v>
      </c>
      <c r="F62" s="8" t="str">
        <f>IFERROR(VLOOKUP(A62,'Product Master'!D:N,10,0)*E62,"")</f>
        <v/>
      </c>
      <c r="G62" s="9" t="str">
        <f>IFERROR(VLOOKUP(A62,'Product Master'!D:N,11,0)*E62,"")</f>
        <v/>
      </c>
      <c r="H62" s="8">
        <f>SUMIFS('Product Master'!G:G,'Product Master'!D:D,Inventory!A62)+SUMIFS('Stock In-Out'!I:I,'Stock In-Out'!A:A,Inventory!A62)-SUMIFS('Stock In-Out'!J:J,'Stock In-Out'!A:A,Inventory!A62)</f>
        <v>0</v>
      </c>
      <c r="I62" s="8">
        <f>SUMIFS('Product Master'!H:H,'Product Master'!D:D,Inventory!A62)+SUMIFS('Stock In-Out'!K:K,'Stock In-Out'!A:A,Inventory!A62)-SUMIFS('Stock In-Out'!L:L,'Stock In-Out'!A:A,Inventory!A62)</f>
        <v>0</v>
      </c>
      <c r="J62" s="8">
        <f>SUMIFS('Product Master'!I:I,'Product Master'!D:D,Inventory!A62)+SUMIFS('Stock In-Out'!M:M,'Stock In-Out'!A:A,Inventory!A62)-SUMIFS('Stock In-Out'!N:N,'Stock In-Out'!A:A,Inventory!A62)</f>
        <v>0</v>
      </c>
      <c r="K62" s="8" t="str">
        <f>IFERROR(VLOOKUP(A62,'Product Master'!D:N,7,0),"")</f>
        <v/>
      </c>
      <c r="L62" s="6" t="str">
        <f>IFERROR(VLOOKUP(A62,'Product Master'!D59:F20058,3,0),"")</f>
        <v/>
      </c>
    </row>
    <row r="63" spans="1:12" x14ac:dyDescent="0.2">
      <c r="A63" s="1"/>
      <c r="B63" s="8">
        <f>SUMIFS('Stock In-Out'!D:D,'Stock In-Out'!B:B,"Opening Stock",'Stock In-Out'!A:A,Inventory!A63)</f>
        <v>0</v>
      </c>
      <c r="C63" s="8">
        <f>SUMIFS('Stock In-Out'!D:D,'Stock In-Out'!B:B,"In",'Stock In-Out'!A:A,Inventory!A63)</f>
        <v>0</v>
      </c>
      <c r="D63" s="8">
        <f>SUMIFS('Stock In-Out'!D:D,'Stock In-Out'!B:B,"Out",'Stock In-Out'!A:A,Inventory!A63)</f>
        <v>0</v>
      </c>
      <c r="E63" s="8">
        <f t="shared" si="1"/>
        <v>0</v>
      </c>
      <c r="F63" s="8" t="str">
        <f>IFERROR(VLOOKUP(A63,'Product Master'!D:N,10,0)*E63,"")</f>
        <v/>
      </c>
      <c r="G63" s="9" t="str">
        <f>IFERROR(VLOOKUP(A63,'Product Master'!D:N,11,0)*E63,"")</f>
        <v/>
      </c>
      <c r="H63" s="8">
        <f>SUMIFS('Product Master'!G:G,'Product Master'!D:D,Inventory!A63)+SUMIFS('Stock In-Out'!I:I,'Stock In-Out'!A:A,Inventory!A63)-SUMIFS('Stock In-Out'!J:J,'Stock In-Out'!A:A,Inventory!A63)</f>
        <v>0</v>
      </c>
      <c r="I63" s="8">
        <f>SUMIFS('Product Master'!H:H,'Product Master'!D:D,Inventory!A63)+SUMIFS('Stock In-Out'!K:K,'Stock In-Out'!A:A,Inventory!A63)-SUMIFS('Stock In-Out'!L:L,'Stock In-Out'!A:A,Inventory!A63)</f>
        <v>0</v>
      </c>
      <c r="J63" s="8">
        <f>SUMIFS('Product Master'!I:I,'Product Master'!D:D,Inventory!A63)+SUMIFS('Stock In-Out'!M:M,'Stock In-Out'!A:A,Inventory!A63)-SUMIFS('Stock In-Out'!N:N,'Stock In-Out'!A:A,Inventory!A63)</f>
        <v>0</v>
      </c>
      <c r="K63" s="8" t="str">
        <f>IFERROR(VLOOKUP(A63,'Product Master'!D:N,7,0),"")</f>
        <v/>
      </c>
      <c r="L63" s="6" t="str">
        <f>IFERROR(VLOOKUP(A63,'Product Master'!D60:F20059,3,0),"")</f>
        <v/>
      </c>
    </row>
    <row r="64" spans="1:12" x14ac:dyDescent="0.2">
      <c r="A64" s="1"/>
      <c r="B64" s="8">
        <f>SUMIFS('Stock In-Out'!D:D,'Stock In-Out'!B:B,"Opening Stock",'Stock In-Out'!A:A,Inventory!A64)</f>
        <v>0</v>
      </c>
      <c r="C64" s="8">
        <f>SUMIFS('Stock In-Out'!D:D,'Stock In-Out'!B:B,"In",'Stock In-Out'!A:A,Inventory!A64)</f>
        <v>0</v>
      </c>
      <c r="D64" s="8">
        <f>SUMIFS('Stock In-Out'!D:D,'Stock In-Out'!B:B,"Out",'Stock In-Out'!A:A,Inventory!A64)</f>
        <v>0</v>
      </c>
      <c r="E64" s="8">
        <f t="shared" si="1"/>
        <v>0</v>
      </c>
      <c r="F64" s="8" t="str">
        <f>IFERROR(VLOOKUP(A64,'Product Master'!D:N,10,0)*E64,"")</f>
        <v/>
      </c>
      <c r="G64" s="9" t="str">
        <f>IFERROR(VLOOKUP(A64,'Product Master'!D:N,11,0)*E64,"")</f>
        <v/>
      </c>
      <c r="H64" s="8">
        <f>SUMIFS('Product Master'!G:G,'Product Master'!D:D,Inventory!A64)+SUMIFS('Stock In-Out'!I:I,'Stock In-Out'!A:A,Inventory!A64)-SUMIFS('Stock In-Out'!J:J,'Stock In-Out'!A:A,Inventory!A64)</f>
        <v>0</v>
      </c>
      <c r="I64" s="8">
        <f>SUMIFS('Product Master'!H:H,'Product Master'!D:D,Inventory!A64)+SUMIFS('Stock In-Out'!K:K,'Stock In-Out'!A:A,Inventory!A64)-SUMIFS('Stock In-Out'!L:L,'Stock In-Out'!A:A,Inventory!A64)</f>
        <v>0</v>
      </c>
      <c r="J64" s="8">
        <f>SUMIFS('Product Master'!I:I,'Product Master'!D:D,Inventory!A64)+SUMIFS('Stock In-Out'!M:M,'Stock In-Out'!A:A,Inventory!A64)-SUMIFS('Stock In-Out'!N:N,'Stock In-Out'!A:A,Inventory!A64)</f>
        <v>0</v>
      </c>
      <c r="K64" s="8" t="str">
        <f>IFERROR(VLOOKUP(A64,'Product Master'!D:N,7,0),"")</f>
        <v/>
      </c>
      <c r="L64" s="6" t="str">
        <f>IFERROR(VLOOKUP(A64,'Product Master'!D61:F20060,3,0),"")</f>
        <v/>
      </c>
    </row>
    <row r="65" spans="1:12" x14ac:dyDescent="0.2">
      <c r="A65" s="1"/>
      <c r="B65" s="8">
        <f>SUMIFS('Stock In-Out'!D:D,'Stock In-Out'!B:B,"Opening Stock",'Stock In-Out'!A:A,Inventory!A65)</f>
        <v>0</v>
      </c>
      <c r="C65" s="8">
        <f>SUMIFS('Stock In-Out'!D:D,'Stock In-Out'!B:B,"In",'Stock In-Out'!A:A,Inventory!A65)</f>
        <v>0</v>
      </c>
      <c r="D65" s="8">
        <f>SUMIFS('Stock In-Out'!D:D,'Stock In-Out'!B:B,"Out",'Stock In-Out'!A:A,Inventory!A65)</f>
        <v>0</v>
      </c>
      <c r="E65" s="8">
        <f t="shared" si="1"/>
        <v>0</v>
      </c>
      <c r="F65" s="8" t="str">
        <f>IFERROR(VLOOKUP(A65,'Product Master'!D:N,10,0)*E65,"")</f>
        <v/>
      </c>
      <c r="G65" s="9" t="str">
        <f>IFERROR(VLOOKUP(A65,'Product Master'!D:N,11,0)*E65,"")</f>
        <v/>
      </c>
      <c r="H65" s="8">
        <f>SUMIFS('Product Master'!G:G,'Product Master'!D:D,Inventory!A65)+SUMIFS('Stock In-Out'!I:I,'Stock In-Out'!A:A,Inventory!A65)-SUMIFS('Stock In-Out'!J:J,'Stock In-Out'!A:A,Inventory!A65)</f>
        <v>0</v>
      </c>
      <c r="I65" s="8">
        <f>SUMIFS('Product Master'!H:H,'Product Master'!D:D,Inventory!A65)+SUMIFS('Stock In-Out'!K:K,'Stock In-Out'!A:A,Inventory!A65)-SUMIFS('Stock In-Out'!L:L,'Stock In-Out'!A:A,Inventory!A65)</f>
        <v>0</v>
      </c>
      <c r="J65" s="8">
        <f>SUMIFS('Product Master'!I:I,'Product Master'!D:D,Inventory!A65)+SUMIFS('Stock In-Out'!M:M,'Stock In-Out'!A:A,Inventory!A65)-SUMIFS('Stock In-Out'!N:N,'Stock In-Out'!A:A,Inventory!A65)</f>
        <v>0</v>
      </c>
      <c r="K65" s="8" t="str">
        <f>IFERROR(VLOOKUP(A65,'Product Master'!D:N,7,0),"")</f>
        <v/>
      </c>
      <c r="L65" s="6" t="str">
        <f>IFERROR(VLOOKUP(A65,'Product Master'!D62:F20061,3,0),"")</f>
        <v/>
      </c>
    </row>
    <row r="66" spans="1:12" x14ac:dyDescent="0.2">
      <c r="A66" s="1"/>
      <c r="B66" s="8">
        <f>SUMIFS('Stock In-Out'!D:D,'Stock In-Out'!B:B,"Opening Stock",'Stock In-Out'!A:A,Inventory!A66)</f>
        <v>0</v>
      </c>
      <c r="C66" s="8">
        <f>SUMIFS('Stock In-Out'!D:D,'Stock In-Out'!B:B,"In",'Stock In-Out'!A:A,Inventory!A66)</f>
        <v>0</v>
      </c>
      <c r="D66" s="8">
        <f>SUMIFS('Stock In-Out'!D:D,'Stock In-Out'!B:B,"Out",'Stock In-Out'!A:A,Inventory!A66)</f>
        <v>0</v>
      </c>
      <c r="E66" s="8">
        <f t="shared" si="1"/>
        <v>0</v>
      </c>
      <c r="F66" s="8" t="str">
        <f>IFERROR(VLOOKUP(A66,'Product Master'!D:N,10,0)*E66,"")</f>
        <v/>
      </c>
      <c r="G66" s="9" t="str">
        <f>IFERROR(VLOOKUP(A66,'Product Master'!D:N,11,0)*E66,"")</f>
        <v/>
      </c>
      <c r="H66" s="8">
        <f>SUMIFS('Product Master'!G:G,'Product Master'!D:D,Inventory!A66)+SUMIFS('Stock In-Out'!I:I,'Stock In-Out'!A:A,Inventory!A66)-SUMIFS('Stock In-Out'!J:J,'Stock In-Out'!A:A,Inventory!A66)</f>
        <v>0</v>
      </c>
      <c r="I66" s="8">
        <f>SUMIFS('Product Master'!H:H,'Product Master'!D:D,Inventory!A66)+SUMIFS('Stock In-Out'!K:K,'Stock In-Out'!A:A,Inventory!A66)-SUMIFS('Stock In-Out'!L:L,'Stock In-Out'!A:A,Inventory!A66)</f>
        <v>0</v>
      </c>
      <c r="J66" s="8">
        <f>SUMIFS('Product Master'!I:I,'Product Master'!D:D,Inventory!A66)+SUMIFS('Stock In-Out'!M:M,'Stock In-Out'!A:A,Inventory!A66)-SUMIFS('Stock In-Out'!N:N,'Stock In-Out'!A:A,Inventory!A66)</f>
        <v>0</v>
      </c>
      <c r="K66" s="8" t="str">
        <f>IFERROR(VLOOKUP(A66,'Product Master'!D:N,7,0),"")</f>
        <v/>
      </c>
      <c r="L66" s="6" t="str">
        <f>IFERROR(VLOOKUP(A66,'Product Master'!D63:F20062,3,0),"")</f>
        <v/>
      </c>
    </row>
    <row r="67" spans="1:12" x14ac:dyDescent="0.2">
      <c r="A67" s="1"/>
      <c r="B67" s="8">
        <f>SUMIFS('Stock In-Out'!D:D,'Stock In-Out'!B:B,"Opening Stock",'Stock In-Out'!A:A,Inventory!A67)</f>
        <v>0</v>
      </c>
      <c r="C67" s="8">
        <f>SUMIFS('Stock In-Out'!D:D,'Stock In-Out'!B:B,"In",'Stock In-Out'!A:A,Inventory!A67)</f>
        <v>0</v>
      </c>
      <c r="D67" s="8">
        <f>SUMIFS('Stock In-Out'!D:D,'Stock In-Out'!B:B,"Out",'Stock In-Out'!A:A,Inventory!A67)</f>
        <v>0</v>
      </c>
      <c r="E67" s="8">
        <f t="shared" si="1"/>
        <v>0</v>
      </c>
      <c r="F67" s="8" t="str">
        <f>IFERROR(VLOOKUP(A67,'Product Master'!D:N,10,0)*E67,"")</f>
        <v/>
      </c>
      <c r="G67" s="9" t="str">
        <f>IFERROR(VLOOKUP(A67,'Product Master'!D:N,11,0)*E67,"")</f>
        <v/>
      </c>
      <c r="H67" s="8">
        <f>SUMIFS('Product Master'!G:G,'Product Master'!D:D,Inventory!A67)+SUMIFS('Stock In-Out'!I:I,'Stock In-Out'!A:A,Inventory!A67)-SUMIFS('Stock In-Out'!J:J,'Stock In-Out'!A:A,Inventory!A67)</f>
        <v>0</v>
      </c>
      <c r="I67" s="8">
        <f>SUMIFS('Product Master'!H:H,'Product Master'!D:D,Inventory!A67)+SUMIFS('Stock In-Out'!K:K,'Stock In-Out'!A:A,Inventory!A67)-SUMIFS('Stock In-Out'!L:L,'Stock In-Out'!A:A,Inventory!A67)</f>
        <v>0</v>
      </c>
      <c r="J67" s="8">
        <f>SUMIFS('Product Master'!I:I,'Product Master'!D:D,Inventory!A67)+SUMIFS('Stock In-Out'!M:M,'Stock In-Out'!A:A,Inventory!A67)-SUMIFS('Stock In-Out'!N:N,'Stock In-Out'!A:A,Inventory!A67)</f>
        <v>0</v>
      </c>
      <c r="K67" s="8" t="str">
        <f>IFERROR(VLOOKUP(A67,'Product Master'!D:N,7,0),"")</f>
        <v/>
      </c>
      <c r="L67" s="6" t="str">
        <f>IFERROR(VLOOKUP(A67,'Product Master'!D64:F20063,3,0),"")</f>
        <v/>
      </c>
    </row>
    <row r="68" spans="1:12" x14ac:dyDescent="0.2">
      <c r="A68" s="1"/>
      <c r="B68" s="8">
        <f>SUMIFS('Stock In-Out'!D:D,'Stock In-Out'!B:B,"Opening Stock",'Stock In-Out'!A:A,Inventory!A68)</f>
        <v>0</v>
      </c>
      <c r="C68" s="8">
        <f>SUMIFS('Stock In-Out'!D:D,'Stock In-Out'!B:B,"In",'Stock In-Out'!A:A,Inventory!A68)</f>
        <v>0</v>
      </c>
      <c r="D68" s="8">
        <f>SUMIFS('Stock In-Out'!D:D,'Stock In-Out'!B:B,"Out",'Stock In-Out'!A:A,Inventory!A68)</f>
        <v>0</v>
      </c>
      <c r="E68" s="8">
        <f t="shared" si="1"/>
        <v>0</v>
      </c>
      <c r="F68" s="8" t="str">
        <f>IFERROR(VLOOKUP(A68,'Product Master'!D:N,10,0)*E68,"")</f>
        <v/>
      </c>
      <c r="G68" s="9" t="str">
        <f>IFERROR(VLOOKUP(A68,'Product Master'!D:N,11,0)*E68,"")</f>
        <v/>
      </c>
      <c r="H68" s="8">
        <f>SUMIFS('Product Master'!G:G,'Product Master'!D:D,Inventory!A68)+SUMIFS('Stock In-Out'!I:I,'Stock In-Out'!A:A,Inventory!A68)-SUMIFS('Stock In-Out'!J:J,'Stock In-Out'!A:A,Inventory!A68)</f>
        <v>0</v>
      </c>
      <c r="I68" s="8">
        <f>SUMIFS('Product Master'!H:H,'Product Master'!D:D,Inventory!A68)+SUMIFS('Stock In-Out'!K:K,'Stock In-Out'!A:A,Inventory!A68)-SUMIFS('Stock In-Out'!L:L,'Stock In-Out'!A:A,Inventory!A68)</f>
        <v>0</v>
      </c>
      <c r="J68" s="8">
        <f>SUMIFS('Product Master'!I:I,'Product Master'!D:D,Inventory!A68)+SUMIFS('Stock In-Out'!M:M,'Stock In-Out'!A:A,Inventory!A68)-SUMIFS('Stock In-Out'!N:N,'Stock In-Out'!A:A,Inventory!A68)</f>
        <v>0</v>
      </c>
      <c r="K68" s="8" t="str">
        <f>IFERROR(VLOOKUP(A68,'Product Master'!D:N,7,0),"")</f>
        <v/>
      </c>
      <c r="L68" s="6" t="str">
        <f>IFERROR(VLOOKUP(A68,'Product Master'!D65:F20064,3,0),"")</f>
        <v/>
      </c>
    </row>
    <row r="69" spans="1:12" x14ac:dyDescent="0.2">
      <c r="A69" s="1"/>
      <c r="B69" s="8">
        <f>SUMIFS('Stock In-Out'!D:D,'Stock In-Out'!B:B,"Opening Stock",'Stock In-Out'!A:A,Inventory!A69)</f>
        <v>0</v>
      </c>
      <c r="C69" s="8">
        <f>SUMIFS('Stock In-Out'!D:D,'Stock In-Out'!B:B,"In",'Stock In-Out'!A:A,Inventory!A69)</f>
        <v>0</v>
      </c>
      <c r="D69" s="8">
        <f>SUMIFS('Stock In-Out'!D:D,'Stock In-Out'!B:B,"Out",'Stock In-Out'!A:A,Inventory!A69)</f>
        <v>0</v>
      </c>
      <c r="E69" s="8">
        <f t="shared" si="1"/>
        <v>0</v>
      </c>
      <c r="F69" s="8" t="str">
        <f>IFERROR(VLOOKUP(A69,'Product Master'!D:N,10,0)*E69,"")</f>
        <v/>
      </c>
      <c r="G69" s="9" t="str">
        <f>IFERROR(VLOOKUP(A69,'Product Master'!D:N,11,0)*E69,"")</f>
        <v/>
      </c>
      <c r="H69" s="8">
        <f>SUMIFS('Product Master'!G:G,'Product Master'!D:D,Inventory!A69)+SUMIFS('Stock In-Out'!I:I,'Stock In-Out'!A:A,Inventory!A69)-SUMIFS('Stock In-Out'!J:J,'Stock In-Out'!A:A,Inventory!A69)</f>
        <v>0</v>
      </c>
      <c r="I69" s="8">
        <f>SUMIFS('Product Master'!H:H,'Product Master'!D:D,Inventory!A69)+SUMIFS('Stock In-Out'!K:K,'Stock In-Out'!A:A,Inventory!A69)-SUMIFS('Stock In-Out'!L:L,'Stock In-Out'!A:A,Inventory!A69)</f>
        <v>0</v>
      </c>
      <c r="J69" s="8">
        <f>SUMIFS('Product Master'!I:I,'Product Master'!D:D,Inventory!A69)+SUMIFS('Stock In-Out'!M:M,'Stock In-Out'!A:A,Inventory!A69)-SUMIFS('Stock In-Out'!N:N,'Stock In-Out'!A:A,Inventory!A69)</f>
        <v>0</v>
      </c>
      <c r="K69" s="8" t="str">
        <f>IFERROR(VLOOKUP(A69,'Product Master'!D:N,7,0),"")</f>
        <v/>
      </c>
      <c r="L69" s="6" t="str">
        <f>IFERROR(VLOOKUP(A69,'Product Master'!D66:F20065,3,0),"")</f>
        <v/>
      </c>
    </row>
    <row r="70" spans="1:12" x14ac:dyDescent="0.2">
      <c r="A70" s="1"/>
      <c r="B70" s="8">
        <f>SUMIFS('Stock In-Out'!D:D,'Stock In-Out'!B:B,"Opening Stock",'Stock In-Out'!A:A,Inventory!A70)</f>
        <v>0</v>
      </c>
      <c r="C70" s="8">
        <f>SUMIFS('Stock In-Out'!D:D,'Stock In-Out'!B:B,"In",'Stock In-Out'!A:A,Inventory!A70)</f>
        <v>0</v>
      </c>
      <c r="D70" s="8">
        <f>SUMIFS('Stock In-Out'!D:D,'Stock In-Out'!B:B,"Out",'Stock In-Out'!A:A,Inventory!A70)</f>
        <v>0</v>
      </c>
      <c r="E70" s="8">
        <f t="shared" ref="E70:E133" si="2">B70+C70-D70</f>
        <v>0</v>
      </c>
      <c r="F70" s="8" t="str">
        <f>IFERROR(VLOOKUP(A70,'Product Master'!D:N,10,0)*E70,"")</f>
        <v/>
      </c>
      <c r="G70" s="9" t="str">
        <f>IFERROR(VLOOKUP(A70,'Product Master'!D:N,11,0)*E70,"")</f>
        <v/>
      </c>
      <c r="H70" s="8">
        <f>SUMIFS('Product Master'!G:G,'Product Master'!D:D,Inventory!A70)+SUMIFS('Stock In-Out'!I:I,'Stock In-Out'!A:A,Inventory!A70)-SUMIFS('Stock In-Out'!J:J,'Stock In-Out'!A:A,Inventory!A70)</f>
        <v>0</v>
      </c>
      <c r="I70" s="8">
        <f>SUMIFS('Product Master'!H:H,'Product Master'!D:D,Inventory!A70)+SUMIFS('Stock In-Out'!K:K,'Stock In-Out'!A:A,Inventory!A70)-SUMIFS('Stock In-Out'!L:L,'Stock In-Out'!A:A,Inventory!A70)</f>
        <v>0</v>
      </c>
      <c r="J70" s="8">
        <f>SUMIFS('Product Master'!I:I,'Product Master'!D:D,Inventory!A70)+SUMIFS('Stock In-Out'!M:M,'Stock In-Out'!A:A,Inventory!A70)-SUMIFS('Stock In-Out'!N:N,'Stock In-Out'!A:A,Inventory!A70)</f>
        <v>0</v>
      </c>
      <c r="K70" s="8" t="str">
        <f>IFERROR(VLOOKUP(A70,'Product Master'!D:N,7,0),"")</f>
        <v/>
      </c>
      <c r="L70" s="6" t="str">
        <f>IFERROR(VLOOKUP(A70,'Product Master'!D67:F20066,3,0),"")</f>
        <v/>
      </c>
    </row>
    <row r="71" spans="1:12" x14ac:dyDescent="0.2">
      <c r="A71" s="1"/>
      <c r="B71" s="8">
        <f>SUMIFS('Stock In-Out'!D:D,'Stock In-Out'!B:B,"Opening Stock",'Stock In-Out'!A:A,Inventory!A71)</f>
        <v>0</v>
      </c>
      <c r="C71" s="8">
        <f>SUMIFS('Stock In-Out'!D:D,'Stock In-Out'!B:B,"In",'Stock In-Out'!A:A,Inventory!A71)</f>
        <v>0</v>
      </c>
      <c r="D71" s="8">
        <f>SUMIFS('Stock In-Out'!D:D,'Stock In-Out'!B:B,"Out",'Stock In-Out'!A:A,Inventory!A71)</f>
        <v>0</v>
      </c>
      <c r="E71" s="8">
        <f t="shared" si="2"/>
        <v>0</v>
      </c>
      <c r="F71" s="8" t="str">
        <f>IFERROR(VLOOKUP(A71,'Product Master'!D:N,10,0)*E71,"")</f>
        <v/>
      </c>
      <c r="G71" s="9" t="str">
        <f>IFERROR(VLOOKUP(A71,'Product Master'!D:N,11,0)*E71,"")</f>
        <v/>
      </c>
      <c r="H71" s="8">
        <f>SUMIFS('Product Master'!G:G,'Product Master'!D:D,Inventory!A71)+SUMIFS('Stock In-Out'!I:I,'Stock In-Out'!A:A,Inventory!A71)-SUMIFS('Stock In-Out'!J:J,'Stock In-Out'!A:A,Inventory!A71)</f>
        <v>0</v>
      </c>
      <c r="I71" s="8">
        <f>SUMIFS('Product Master'!H:H,'Product Master'!D:D,Inventory!A71)+SUMIFS('Stock In-Out'!K:K,'Stock In-Out'!A:A,Inventory!A71)-SUMIFS('Stock In-Out'!L:L,'Stock In-Out'!A:A,Inventory!A71)</f>
        <v>0</v>
      </c>
      <c r="J71" s="8">
        <f>SUMIFS('Product Master'!I:I,'Product Master'!D:D,Inventory!A71)+SUMIFS('Stock In-Out'!M:M,'Stock In-Out'!A:A,Inventory!A71)-SUMIFS('Stock In-Out'!N:N,'Stock In-Out'!A:A,Inventory!A71)</f>
        <v>0</v>
      </c>
      <c r="K71" s="8" t="str">
        <f>IFERROR(VLOOKUP(A71,'Product Master'!D:N,7,0),"")</f>
        <v/>
      </c>
      <c r="L71" s="6" t="str">
        <f>IFERROR(VLOOKUP(A71,'Product Master'!D68:F20067,3,0),"")</f>
        <v/>
      </c>
    </row>
    <row r="72" spans="1:12" x14ac:dyDescent="0.2">
      <c r="A72" s="1"/>
      <c r="B72" s="8">
        <f>SUMIFS('Stock In-Out'!D:D,'Stock In-Out'!B:B,"Opening Stock",'Stock In-Out'!A:A,Inventory!A72)</f>
        <v>0</v>
      </c>
      <c r="C72" s="8">
        <f>SUMIFS('Stock In-Out'!D:D,'Stock In-Out'!B:B,"In",'Stock In-Out'!A:A,Inventory!A72)</f>
        <v>0</v>
      </c>
      <c r="D72" s="8">
        <f>SUMIFS('Stock In-Out'!D:D,'Stock In-Out'!B:B,"Out",'Stock In-Out'!A:A,Inventory!A72)</f>
        <v>0</v>
      </c>
      <c r="E72" s="8">
        <f t="shared" si="2"/>
        <v>0</v>
      </c>
      <c r="F72" s="8" t="str">
        <f>IFERROR(VLOOKUP(A72,'Product Master'!D:N,10,0)*E72,"")</f>
        <v/>
      </c>
      <c r="G72" s="9" t="str">
        <f>IFERROR(VLOOKUP(A72,'Product Master'!D:N,11,0)*E72,"")</f>
        <v/>
      </c>
      <c r="H72" s="8">
        <f>SUMIFS('Product Master'!G:G,'Product Master'!D:D,Inventory!A72)+SUMIFS('Stock In-Out'!I:I,'Stock In-Out'!A:A,Inventory!A72)-SUMIFS('Stock In-Out'!J:J,'Stock In-Out'!A:A,Inventory!A72)</f>
        <v>0</v>
      </c>
      <c r="I72" s="8">
        <f>SUMIFS('Product Master'!H:H,'Product Master'!D:D,Inventory!A72)+SUMIFS('Stock In-Out'!K:K,'Stock In-Out'!A:A,Inventory!A72)-SUMIFS('Stock In-Out'!L:L,'Stock In-Out'!A:A,Inventory!A72)</f>
        <v>0</v>
      </c>
      <c r="J72" s="8">
        <f>SUMIFS('Product Master'!I:I,'Product Master'!D:D,Inventory!A72)+SUMIFS('Stock In-Out'!M:M,'Stock In-Out'!A:A,Inventory!A72)-SUMIFS('Stock In-Out'!N:N,'Stock In-Out'!A:A,Inventory!A72)</f>
        <v>0</v>
      </c>
      <c r="K72" s="8" t="str">
        <f>IFERROR(VLOOKUP(A72,'Product Master'!D:N,7,0),"")</f>
        <v/>
      </c>
      <c r="L72" s="6" t="str">
        <f>IFERROR(VLOOKUP(A72,'Product Master'!D69:F20068,3,0),"")</f>
        <v/>
      </c>
    </row>
    <row r="73" spans="1:12" x14ac:dyDescent="0.2">
      <c r="A73" s="1"/>
      <c r="B73" s="8">
        <f>SUMIFS('Stock In-Out'!D:D,'Stock In-Out'!B:B,"Opening Stock",'Stock In-Out'!A:A,Inventory!A73)</f>
        <v>0</v>
      </c>
      <c r="C73" s="8">
        <f>SUMIFS('Stock In-Out'!D:D,'Stock In-Out'!B:B,"In",'Stock In-Out'!A:A,Inventory!A73)</f>
        <v>0</v>
      </c>
      <c r="D73" s="8">
        <f>SUMIFS('Stock In-Out'!D:D,'Stock In-Out'!B:B,"Out",'Stock In-Out'!A:A,Inventory!A73)</f>
        <v>0</v>
      </c>
      <c r="E73" s="8">
        <f t="shared" si="2"/>
        <v>0</v>
      </c>
      <c r="F73" s="8" t="str">
        <f>IFERROR(VLOOKUP(A73,'Product Master'!D:N,10,0)*E73,"")</f>
        <v/>
      </c>
      <c r="G73" s="9" t="str">
        <f>IFERROR(VLOOKUP(A73,'Product Master'!D:N,11,0)*E73,"")</f>
        <v/>
      </c>
      <c r="H73" s="8">
        <f>SUMIFS('Product Master'!G:G,'Product Master'!D:D,Inventory!A73)+SUMIFS('Stock In-Out'!I:I,'Stock In-Out'!A:A,Inventory!A73)-SUMIFS('Stock In-Out'!J:J,'Stock In-Out'!A:A,Inventory!A73)</f>
        <v>0</v>
      </c>
      <c r="I73" s="8">
        <f>SUMIFS('Product Master'!H:H,'Product Master'!D:D,Inventory!A73)+SUMIFS('Stock In-Out'!K:K,'Stock In-Out'!A:A,Inventory!A73)-SUMIFS('Stock In-Out'!L:L,'Stock In-Out'!A:A,Inventory!A73)</f>
        <v>0</v>
      </c>
      <c r="J73" s="8">
        <f>SUMIFS('Product Master'!I:I,'Product Master'!D:D,Inventory!A73)+SUMIFS('Stock In-Out'!M:M,'Stock In-Out'!A:A,Inventory!A73)-SUMIFS('Stock In-Out'!N:N,'Stock In-Out'!A:A,Inventory!A73)</f>
        <v>0</v>
      </c>
      <c r="K73" s="8" t="str">
        <f>IFERROR(VLOOKUP(A73,'Product Master'!D:N,7,0),"")</f>
        <v/>
      </c>
      <c r="L73" s="6" t="str">
        <f>IFERROR(VLOOKUP(A73,'Product Master'!D70:F20069,3,0),"")</f>
        <v/>
      </c>
    </row>
    <row r="74" spans="1:12" x14ac:dyDescent="0.2">
      <c r="A74" s="1"/>
      <c r="B74" s="8">
        <f>SUMIFS('Stock In-Out'!D:D,'Stock In-Out'!B:B,"Opening Stock",'Stock In-Out'!A:A,Inventory!A74)</f>
        <v>0</v>
      </c>
      <c r="C74" s="8">
        <f>SUMIFS('Stock In-Out'!D:D,'Stock In-Out'!B:B,"In",'Stock In-Out'!A:A,Inventory!A74)</f>
        <v>0</v>
      </c>
      <c r="D74" s="8">
        <f>SUMIFS('Stock In-Out'!D:D,'Stock In-Out'!B:B,"Out",'Stock In-Out'!A:A,Inventory!A74)</f>
        <v>0</v>
      </c>
      <c r="E74" s="8">
        <f t="shared" si="2"/>
        <v>0</v>
      </c>
      <c r="F74" s="8" t="str">
        <f>IFERROR(VLOOKUP(A74,'Product Master'!D:N,10,0)*E74,"")</f>
        <v/>
      </c>
      <c r="G74" s="9" t="str">
        <f>IFERROR(VLOOKUP(A74,'Product Master'!D:N,11,0)*E74,"")</f>
        <v/>
      </c>
      <c r="H74" s="8">
        <f>SUMIFS('Product Master'!G:G,'Product Master'!D:D,Inventory!A74)+SUMIFS('Stock In-Out'!I:I,'Stock In-Out'!A:A,Inventory!A74)-SUMIFS('Stock In-Out'!J:J,'Stock In-Out'!A:A,Inventory!A74)</f>
        <v>0</v>
      </c>
      <c r="I74" s="8">
        <f>SUMIFS('Product Master'!H:H,'Product Master'!D:D,Inventory!A74)+SUMIFS('Stock In-Out'!K:K,'Stock In-Out'!A:A,Inventory!A74)-SUMIFS('Stock In-Out'!L:L,'Stock In-Out'!A:A,Inventory!A74)</f>
        <v>0</v>
      </c>
      <c r="J74" s="8">
        <f>SUMIFS('Product Master'!I:I,'Product Master'!D:D,Inventory!A74)+SUMIFS('Stock In-Out'!M:M,'Stock In-Out'!A:A,Inventory!A74)-SUMIFS('Stock In-Out'!N:N,'Stock In-Out'!A:A,Inventory!A74)</f>
        <v>0</v>
      </c>
      <c r="K74" s="8" t="str">
        <f>IFERROR(VLOOKUP(A74,'Product Master'!D:N,7,0),"")</f>
        <v/>
      </c>
      <c r="L74" s="6" t="str">
        <f>IFERROR(VLOOKUP(A74,'Product Master'!D71:F20070,3,0),"")</f>
        <v/>
      </c>
    </row>
    <row r="75" spans="1:12" x14ac:dyDescent="0.2">
      <c r="A75" s="1"/>
      <c r="B75" s="8">
        <f>SUMIFS('Stock In-Out'!D:D,'Stock In-Out'!B:B,"Opening Stock",'Stock In-Out'!A:A,Inventory!A75)</f>
        <v>0</v>
      </c>
      <c r="C75" s="8">
        <f>SUMIFS('Stock In-Out'!D:D,'Stock In-Out'!B:B,"In",'Stock In-Out'!A:A,Inventory!A75)</f>
        <v>0</v>
      </c>
      <c r="D75" s="8">
        <f>SUMIFS('Stock In-Out'!D:D,'Stock In-Out'!B:B,"Out",'Stock In-Out'!A:A,Inventory!A75)</f>
        <v>0</v>
      </c>
      <c r="E75" s="8">
        <f t="shared" si="2"/>
        <v>0</v>
      </c>
      <c r="F75" s="8" t="str">
        <f>IFERROR(VLOOKUP(A75,'Product Master'!D:N,10,0)*E75,"")</f>
        <v/>
      </c>
      <c r="G75" s="9" t="str">
        <f>IFERROR(VLOOKUP(A75,'Product Master'!D:N,11,0)*E75,"")</f>
        <v/>
      </c>
      <c r="H75" s="8">
        <f>SUMIFS('Product Master'!G:G,'Product Master'!D:D,Inventory!A75)+SUMIFS('Stock In-Out'!I:I,'Stock In-Out'!A:A,Inventory!A75)-SUMIFS('Stock In-Out'!J:J,'Stock In-Out'!A:A,Inventory!A75)</f>
        <v>0</v>
      </c>
      <c r="I75" s="8">
        <f>SUMIFS('Product Master'!H:H,'Product Master'!D:D,Inventory!A75)+SUMIFS('Stock In-Out'!K:K,'Stock In-Out'!A:A,Inventory!A75)-SUMIFS('Stock In-Out'!L:L,'Stock In-Out'!A:A,Inventory!A75)</f>
        <v>0</v>
      </c>
      <c r="J75" s="8">
        <f>SUMIFS('Product Master'!I:I,'Product Master'!D:D,Inventory!A75)+SUMIFS('Stock In-Out'!M:M,'Stock In-Out'!A:A,Inventory!A75)-SUMIFS('Stock In-Out'!N:N,'Stock In-Out'!A:A,Inventory!A75)</f>
        <v>0</v>
      </c>
      <c r="K75" s="8" t="str">
        <f>IFERROR(VLOOKUP(A75,'Product Master'!D:N,7,0),"")</f>
        <v/>
      </c>
      <c r="L75" s="6" t="str">
        <f>IFERROR(VLOOKUP(A75,'Product Master'!D72:F20071,3,0),"")</f>
        <v/>
      </c>
    </row>
    <row r="76" spans="1:12" x14ac:dyDescent="0.2">
      <c r="A76" s="1"/>
      <c r="B76" s="8">
        <f>SUMIFS('Stock In-Out'!D:D,'Stock In-Out'!B:B,"Opening Stock",'Stock In-Out'!A:A,Inventory!A76)</f>
        <v>0</v>
      </c>
      <c r="C76" s="8">
        <f>SUMIFS('Stock In-Out'!D:D,'Stock In-Out'!B:B,"In",'Stock In-Out'!A:A,Inventory!A76)</f>
        <v>0</v>
      </c>
      <c r="D76" s="8">
        <f>SUMIFS('Stock In-Out'!D:D,'Stock In-Out'!B:B,"Out",'Stock In-Out'!A:A,Inventory!A76)</f>
        <v>0</v>
      </c>
      <c r="E76" s="8">
        <f t="shared" si="2"/>
        <v>0</v>
      </c>
      <c r="F76" s="8" t="str">
        <f>IFERROR(VLOOKUP(A76,'Product Master'!D:N,10,0)*E76,"")</f>
        <v/>
      </c>
      <c r="G76" s="9" t="str">
        <f>IFERROR(VLOOKUP(A76,'Product Master'!D:N,11,0)*E76,"")</f>
        <v/>
      </c>
      <c r="H76" s="8">
        <f>SUMIFS('Product Master'!G:G,'Product Master'!D:D,Inventory!A76)+SUMIFS('Stock In-Out'!I:I,'Stock In-Out'!A:A,Inventory!A76)-SUMIFS('Stock In-Out'!J:J,'Stock In-Out'!A:A,Inventory!A76)</f>
        <v>0</v>
      </c>
      <c r="I76" s="8">
        <f>SUMIFS('Product Master'!H:H,'Product Master'!D:D,Inventory!A76)+SUMIFS('Stock In-Out'!K:K,'Stock In-Out'!A:A,Inventory!A76)-SUMIFS('Stock In-Out'!L:L,'Stock In-Out'!A:A,Inventory!A76)</f>
        <v>0</v>
      </c>
      <c r="J76" s="8">
        <f>SUMIFS('Product Master'!I:I,'Product Master'!D:D,Inventory!A76)+SUMIFS('Stock In-Out'!M:M,'Stock In-Out'!A:A,Inventory!A76)-SUMIFS('Stock In-Out'!N:N,'Stock In-Out'!A:A,Inventory!A76)</f>
        <v>0</v>
      </c>
      <c r="K76" s="8" t="str">
        <f>IFERROR(VLOOKUP(A76,'Product Master'!D:N,7,0),"")</f>
        <v/>
      </c>
      <c r="L76" s="6" t="str">
        <f>IFERROR(VLOOKUP(A76,'Product Master'!D73:F20072,3,0),"")</f>
        <v/>
      </c>
    </row>
    <row r="77" spans="1:12" x14ac:dyDescent="0.2">
      <c r="A77" s="1"/>
      <c r="B77" s="8">
        <f>SUMIFS('Stock In-Out'!D:D,'Stock In-Out'!B:B,"Opening Stock",'Stock In-Out'!A:A,Inventory!A77)</f>
        <v>0</v>
      </c>
      <c r="C77" s="8">
        <f>SUMIFS('Stock In-Out'!D:D,'Stock In-Out'!B:B,"In",'Stock In-Out'!A:A,Inventory!A77)</f>
        <v>0</v>
      </c>
      <c r="D77" s="8">
        <f>SUMIFS('Stock In-Out'!D:D,'Stock In-Out'!B:B,"Out",'Stock In-Out'!A:A,Inventory!A77)</f>
        <v>0</v>
      </c>
      <c r="E77" s="8">
        <f t="shared" si="2"/>
        <v>0</v>
      </c>
      <c r="F77" s="8" t="str">
        <f>IFERROR(VLOOKUP(A77,'Product Master'!D:N,10,0)*E77,"")</f>
        <v/>
      </c>
      <c r="G77" s="9" t="str">
        <f>IFERROR(VLOOKUP(A77,'Product Master'!D:N,11,0)*E77,"")</f>
        <v/>
      </c>
      <c r="H77" s="8">
        <f>SUMIFS('Product Master'!G:G,'Product Master'!D:D,Inventory!A77)+SUMIFS('Stock In-Out'!I:I,'Stock In-Out'!A:A,Inventory!A77)-SUMIFS('Stock In-Out'!J:J,'Stock In-Out'!A:A,Inventory!A77)</f>
        <v>0</v>
      </c>
      <c r="I77" s="8">
        <f>SUMIFS('Product Master'!H:H,'Product Master'!D:D,Inventory!A77)+SUMIFS('Stock In-Out'!K:K,'Stock In-Out'!A:A,Inventory!A77)-SUMIFS('Stock In-Out'!L:L,'Stock In-Out'!A:A,Inventory!A77)</f>
        <v>0</v>
      </c>
      <c r="J77" s="8">
        <f>SUMIFS('Product Master'!I:I,'Product Master'!D:D,Inventory!A77)+SUMIFS('Stock In-Out'!M:M,'Stock In-Out'!A:A,Inventory!A77)-SUMIFS('Stock In-Out'!N:N,'Stock In-Out'!A:A,Inventory!A77)</f>
        <v>0</v>
      </c>
      <c r="K77" s="8" t="str">
        <f>IFERROR(VLOOKUP(A77,'Product Master'!D:N,7,0),"")</f>
        <v/>
      </c>
      <c r="L77" s="6" t="str">
        <f>IFERROR(VLOOKUP(A77,'Product Master'!D74:F20073,3,0),"")</f>
        <v/>
      </c>
    </row>
    <row r="78" spans="1:12" x14ac:dyDescent="0.2">
      <c r="A78" s="1"/>
      <c r="B78" s="8">
        <f>SUMIFS('Stock In-Out'!D:D,'Stock In-Out'!B:B,"Opening Stock",'Stock In-Out'!A:A,Inventory!A78)</f>
        <v>0</v>
      </c>
      <c r="C78" s="8">
        <f>SUMIFS('Stock In-Out'!D:D,'Stock In-Out'!B:B,"In",'Stock In-Out'!A:A,Inventory!A78)</f>
        <v>0</v>
      </c>
      <c r="D78" s="8">
        <f>SUMIFS('Stock In-Out'!D:D,'Stock In-Out'!B:B,"Out",'Stock In-Out'!A:A,Inventory!A78)</f>
        <v>0</v>
      </c>
      <c r="E78" s="8">
        <f t="shared" si="2"/>
        <v>0</v>
      </c>
      <c r="F78" s="8" t="str">
        <f>IFERROR(VLOOKUP(A78,'Product Master'!D:N,10,0)*E78,"")</f>
        <v/>
      </c>
      <c r="G78" s="9" t="str">
        <f>IFERROR(VLOOKUP(A78,'Product Master'!D:N,11,0)*E78,"")</f>
        <v/>
      </c>
      <c r="H78" s="8">
        <f>SUMIFS('Product Master'!G:G,'Product Master'!D:D,Inventory!A78)+SUMIFS('Stock In-Out'!I:I,'Stock In-Out'!A:A,Inventory!A78)-SUMIFS('Stock In-Out'!J:J,'Stock In-Out'!A:A,Inventory!A78)</f>
        <v>0</v>
      </c>
      <c r="I78" s="8">
        <f>SUMIFS('Product Master'!H:H,'Product Master'!D:D,Inventory!A78)+SUMIFS('Stock In-Out'!K:K,'Stock In-Out'!A:A,Inventory!A78)-SUMIFS('Stock In-Out'!L:L,'Stock In-Out'!A:A,Inventory!A78)</f>
        <v>0</v>
      </c>
      <c r="J78" s="8">
        <f>SUMIFS('Product Master'!I:I,'Product Master'!D:D,Inventory!A78)+SUMIFS('Stock In-Out'!M:M,'Stock In-Out'!A:A,Inventory!A78)-SUMIFS('Stock In-Out'!N:N,'Stock In-Out'!A:A,Inventory!A78)</f>
        <v>0</v>
      </c>
      <c r="K78" s="8" t="str">
        <f>IFERROR(VLOOKUP(A78,'Product Master'!D:N,7,0),"")</f>
        <v/>
      </c>
      <c r="L78" s="6" t="str">
        <f>IFERROR(VLOOKUP(A78,'Product Master'!D75:F20074,3,0),"")</f>
        <v/>
      </c>
    </row>
    <row r="79" spans="1:12" x14ac:dyDescent="0.2">
      <c r="A79" s="1"/>
      <c r="B79" s="8">
        <f>SUMIFS('Stock In-Out'!D:D,'Stock In-Out'!B:B,"Opening Stock",'Stock In-Out'!A:A,Inventory!A79)</f>
        <v>0</v>
      </c>
      <c r="C79" s="8">
        <f>SUMIFS('Stock In-Out'!D:D,'Stock In-Out'!B:B,"In",'Stock In-Out'!A:A,Inventory!A79)</f>
        <v>0</v>
      </c>
      <c r="D79" s="8">
        <f>SUMIFS('Stock In-Out'!D:D,'Stock In-Out'!B:B,"Out",'Stock In-Out'!A:A,Inventory!A79)</f>
        <v>0</v>
      </c>
      <c r="E79" s="8">
        <f t="shared" si="2"/>
        <v>0</v>
      </c>
      <c r="F79" s="8" t="str">
        <f>IFERROR(VLOOKUP(A79,'Product Master'!D:N,10,0)*E79,"")</f>
        <v/>
      </c>
      <c r="G79" s="9" t="str">
        <f>IFERROR(VLOOKUP(A79,'Product Master'!D:N,11,0)*E79,"")</f>
        <v/>
      </c>
      <c r="H79" s="8">
        <f>SUMIFS('Product Master'!G:G,'Product Master'!D:D,Inventory!A79)+SUMIFS('Stock In-Out'!I:I,'Stock In-Out'!A:A,Inventory!A79)-SUMIFS('Stock In-Out'!J:J,'Stock In-Out'!A:A,Inventory!A79)</f>
        <v>0</v>
      </c>
      <c r="I79" s="8">
        <f>SUMIFS('Product Master'!H:H,'Product Master'!D:D,Inventory!A79)+SUMIFS('Stock In-Out'!K:K,'Stock In-Out'!A:A,Inventory!A79)-SUMIFS('Stock In-Out'!L:L,'Stock In-Out'!A:A,Inventory!A79)</f>
        <v>0</v>
      </c>
      <c r="J79" s="8">
        <f>SUMIFS('Product Master'!I:I,'Product Master'!D:D,Inventory!A79)+SUMIFS('Stock In-Out'!M:M,'Stock In-Out'!A:A,Inventory!A79)-SUMIFS('Stock In-Out'!N:N,'Stock In-Out'!A:A,Inventory!A79)</f>
        <v>0</v>
      </c>
      <c r="K79" s="8" t="str">
        <f>IFERROR(VLOOKUP(A79,'Product Master'!D:N,7,0),"")</f>
        <v/>
      </c>
      <c r="L79" s="6" t="str">
        <f>IFERROR(VLOOKUP(A79,'Product Master'!D76:F20075,3,0),"")</f>
        <v/>
      </c>
    </row>
    <row r="80" spans="1:12" x14ac:dyDescent="0.2">
      <c r="A80" s="1"/>
      <c r="B80" s="8">
        <f>SUMIFS('Stock In-Out'!D:D,'Stock In-Out'!B:B,"Opening Stock",'Stock In-Out'!A:A,Inventory!A80)</f>
        <v>0</v>
      </c>
      <c r="C80" s="8">
        <f>SUMIFS('Stock In-Out'!D:D,'Stock In-Out'!B:B,"In",'Stock In-Out'!A:A,Inventory!A80)</f>
        <v>0</v>
      </c>
      <c r="D80" s="8">
        <f>SUMIFS('Stock In-Out'!D:D,'Stock In-Out'!B:B,"Out",'Stock In-Out'!A:A,Inventory!A80)</f>
        <v>0</v>
      </c>
      <c r="E80" s="8">
        <f t="shared" si="2"/>
        <v>0</v>
      </c>
      <c r="F80" s="8" t="str">
        <f>IFERROR(VLOOKUP(A80,'Product Master'!D:N,10,0)*E80,"")</f>
        <v/>
      </c>
      <c r="G80" s="9" t="str">
        <f>IFERROR(VLOOKUP(A80,'Product Master'!D:N,11,0)*E80,"")</f>
        <v/>
      </c>
      <c r="H80" s="8">
        <f>SUMIFS('Product Master'!G:G,'Product Master'!D:D,Inventory!A80)+SUMIFS('Stock In-Out'!I:I,'Stock In-Out'!A:A,Inventory!A80)-SUMIFS('Stock In-Out'!J:J,'Stock In-Out'!A:A,Inventory!A80)</f>
        <v>0</v>
      </c>
      <c r="I80" s="8">
        <f>SUMIFS('Product Master'!H:H,'Product Master'!D:D,Inventory!A80)+SUMIFS('Stock In-Out'!K:K,'Stock In-Out'!A:A,Inventory!A80)-SUMIFS('Stock In-Out'!L:L,'Stock In-Out'!A:A,Inventory!A80)</f>
        <v>0</v>
      </c>
      <c r="J80" s="8">
        <f>SUMIFS('Product Master'!I:I,'Product Master'!D:D,Inventory!A80)+SUMIFS('Stock In-Out'!M:M,'Stock In-Out'!A:A,Inventory!A80)-SUMIFS('Stock In-Out'!N:N,'Stock In-Out'!A:A,Inventory!A80)</f>
        <v>0</v>
      </c>
      <c r="K80" s="8" t="str">
        <f>IFERROR(VLOOKUP(A80,'Product Master'!D:N,7,0),"")</f>
        <v/>
      </c>
      <c r="L80" s="6" t="str">
        <f>IFERROR(VLOOKUP(A80,'Product Master'!D77:F20076,3,0),"")</f>
        <v/>
      </c>
    </row>
    <row r="81" spans="1:12" x14ac:dyDescent="0.2">
      <c r="A81" s="1"/>
      <c r="B81" s="8">
        <f>SUMIFS('Stock In-Out'!D:D,'Stock In-Out'!B:B,"Opening Stock",'Stock In-Out'!A:A,Inventory!A81)</f>
        <v>0</v>
      </c>
      <c r="C81" s="8">
        <f>SUMIFS('Stock In-Out'!D:D,'Stock In-Out'!B:B,"In",'Stock In-Out'!A:A,Inventory!A81)</f>
        <v>0</v>
      </c>
      <c r="D81" s="8">
        <f>SUMIFS('Stock In-Out'!D:D,'Stock In-Out'!B:B,"Out",'Stock In-Out'!A:A,Inventory!A81)</f>
        <v>0</v>
      </c>
      <c r="E81" s="8">
        <f t="shared" si="2"/>
        <v>0</v>
      </c>
      <c r="F81" s="8" t="str">
        <f>IFERROR(VLOOKUP(A81,'Product Master'!D:N,10,0)*E81,"")</f>
        <v/>
      </c>
      <c r="G81" s="9" t="str">
        <f>IFERROR(VLOOKUP(A81,'Product Master'!D:N,11,0)*E81,"")</f>
        <v/>
      </c>
      <c r="H81" s="8">
        <f>SUMIFS('Product Master'!G:G,'Product Master'!D:D,Inventory!A81)+SUMIFS('Stock In-Out'!I:I,'Stock In-Out'!A:A,Inventory!A81)-SUMIFS('Stock In-Out'!J:J,'Stock In-Out'!A:A,Inventory!A81)</f>
        <v>0</v>
      </c>
      <c r="I81" s="8">
        <f>SUMIFS('Product Master'!H:H,'Product Master'!D:D,Inventory!A81)+SUMIFS('Stock In-Out'!K:K,'Stock In-Out'!A:A,Inventory!A81)-SUMIFS('Stock In-Out'!L:L,'Stock In-Out'!A:A,Inventory!A81)</f>
        <v>0</v>
      </c>
      <c r="J81" s="8">
        <f>SUMIFS('Product Master'!I:I,'Product Master'!D:D,Inventory!A81)+SUMIFS('Stock In-Out'!M:M,'Stock In-Out'!A:A,Inventory!A81)-SUMIFS('Stock In-Out'!N:N,'Stock In-Out'!A:A,Inventory!A81)</f>
        <v>0</v>
      </c>
      <c r="K81" s="8" t="str">
        <f>IFERROR(VLOOKUP(A81,'Product Master'!D:N,7,0),"")</f>
        <v/>
      </c>
      <c r="L81" s="6" t="str">
        <f>IFERROR(VLOOKUP(A81,'Product Master'!D78:F20077,3,0),"")</f>
        <v/>
      </c>
    </row>
    <row r="82" spans="1:12" x14ac:dyDescent="0.2">
      <c r="A82" s="1"/>
      <c r="B82" s="8">
        <f>SUMIFS('Stock In-Out'!D:D,'Stock In-Out'!B:B,"Opening Stock",'Stock In-Out'!A:A,Inventory!A82)</f>
        <v>0</v>
      </c>
      <c r="C82" s="8">
        <f>SUMIFS('Stock In-Out'!D:D,'Stock In-Out'!B:B,"In",'Stock In-Out'!A:A,Inventory!A82)</f>
        <v>0</v>
      </c>
      <c r="D82" s="8">
        <f>SUMIFS('Stock In-Out'!D:D,'Stock In-Out'!B:B,"Out",'Stock In-Out'!A:A,Inventory!A82)</f>
        <v>0</v>
      </c>
      <c r="E82" s="8">
        <f t="shared" si="2"/>
        <v>0</v>
      </c>
      <c r="F82" s="8" t="str">
        <f>IFERROR(VLOOKUP(A82,'Product Master'!D:N,10,0)*E82,"")</f>
        <v/>
      </c>
      <c r="G82" s="9" t="str">
        <f>IFERROR(VLOOKUP(A82,'Product Master'!D:N,11,0)*E82,"")</f>
        <v/>
      </c>
      <c r="H82" s="8">
        <f>SUMIFS('Product Master'!G:G,'Product Master'!D:D,Inventory!A82)+SUMIFS('Stock In-Out'!I:I,'Stock In-Out'!A:A,Inventory!A82)-SUMIFS('Stock In-Out'!J:J,'Stock In-Out'!A:A,Inventory!A82)</f>
        <v>0</v>
      </c>
      <c r="I82" s="8">
        <f>SUMIFS('Product Master'!H:H,'Product Master'!D:D,Inventory!A82)+SUMIFS('Stock In-Out'!K:K,'Stock In-Out'!A:A,Inventory!A82)-SUMIFS('Stock In-Out'!L:L,'Stock In-Out'!A:A,Inventory!A82)</f>
        <v>0</v>
      </c>
      <c r="J82" s="8">
        <f>SUMIFS('Product Master'!I:I,'Product Master'!D:D,Inventory!A82)+SUMIFS('Stock In-Out'!M:M,'Stock In-Out'!A:A,Inventory!A82)-SUMIFS('Stock In-Out'!N:N,'Stock In-Out'!A:A,Inventory!A82)</f>
        <v>0</v>
      </c>
      <c r="K82" s="8" t="str">
        <f>IFERROR(VLOOKUP(A82,'Product Master'!D:N,7,0),"")</f>
        <v/>
      </c>
      <c r="L82" s="6" t="str">
        <f>IFERROR(VLOOKUP(A82,'Product Master'!D79:F20078,3,0),"")</f>
        <v/>
      </c>
    </row>
    <row r="83" spans="1:12" x14ac:dyDescent="0.2">
      <c r="A83" s="1"/>
      <c r="B83" s="8">
        <f>SUMIFS('Stock In-Out'!D:D,'Stock In-Out'!B:B,"Opening Stock",'Stock In-Out'!A:A,Inventory!A83)</f>
        <v>0</v>
      </c>
      <c r="C83" s="8">
        <f>SUMIFS('Stock In-Out'!D:D,'Stock In-Out'!B:B,"In",'Stock In-Out'!A:A,Inventory!A83)</f>
        <v>0</v>
      </c>
      <c r="D83" s="8">
        <f>SUMIFS('Stock In-Out'!D:D,'Stock In-Out'!B:B,"Out",'Stock In-Out'!A:A,Inventory!A83)</f>
        <v>0</v>
      </c>
      <c r="E83" s="8">
        <f t="shared" si="2"/>
        <v>0</v>
      </c>
      <c r="F83" s="8" t="str">
        <f>IFERROR(VLOOKUP(A83,'Product Master'!D:N,10,0)*E83,"")</f>
        <v/>
      </c>
      <c r="G83" s="9" t="str">
        <f>IFERROR(VLOOKUP(A83,'Product Master'!D:N,11,0)*E83,"")</f>
        <v/>
      </c>
      <c r="H83" s="8">
        <f>SUMIFS('Product Master'!G:G,'Product Master'!D:D,Inventory!A83)+SUMIFS('Stock In-Out'!I:I,'Stock In-Out'!A:A,Inventory!A83)-SUMIFS('Stock In-Out'!J:J,'Stock In-Out'!A:A,Inventory!A83)</f>
        <v>0</v>
      </c>
      <c r="I83" s="8">
        <f>SUMIFS('Product Master'!H:H,'Product Master'!D:D,Inventory!A83)+SUMIFS('Stock In-Out'!K:K,'Stock In-Out'!A:A,Inventory!A83)-SUMIFS('Stock In-Out'!L:L,'Stock In-Out'!A:A,Inventory!A83)</f>
        <v>0</v>
      </c>
      <c r="J83" s="8">
        <f>SUMIFS('Product Master'!I:I,'Product Master'!D:D,Inventory!A83)+SUMIFS('Stock In-Out'!M:M,'Stock In-Out'!A:A,Inventory!A83)-SUMIFS('Stock In-Out'!N:N,'Stock In-Out'!A:A,Inventory!A83)</f>
        <v>0</v>
      </c>
      <c r="K83" s="8" t="str">
        <f>IFERROR(VLOOKUP(A83,'Product Master'!D:N,7,0),"")</f>
        <v/>
      </c>
      <c r="L83" s="6" t="str">
        <f>IFERROR(VLOOKUP(A83,'Product Master'!D80:F20079,3,0),"")</f>
        <v/>
      </c>
    </row>
    <row r="84" spans="1:12" x14ac:dyDescent="0.2">
      <c r="A84" s="1"/>
      <c r="B84" s="8">
        <f>SUMIFS('Stock In-Out'!D:D,'Stock In-Out'!B:B,"Opening Stock",'Stock In-Out'!A:A,Inventory!A84)</f>
        <v>0</v>
      </c>
      <c r="C84" s="8">
        <f>SUMIFS('Stock In-Out'!D:D,'Stock In-Out'!B:B,"In",'Stock In-Out'!A:A,Inventory!A84)</f>
        <v>0</v>
      </c>
      <c r="D84" s="8">
        <f>SUMIFS('Stock In-Out'!D:D,'Stock In-Out'!B:B,"Out",'Stock In-Out'!A:A,Inventory!A84)</f>
        <v>0</v>
      </c>
      <c r="E84" s="8">
        <f t="shared" si="2"/>
        <v>0</v>
      </c>
      <c r="F84" s="8" t="str">
        <f>IFERROR(VLOOKUP(A84,'Product Master'!D:N,10,0)*E84,"")</f>
        <v/>
      </c>
      <c r="G84" s="9" t="str">
        <f>IFERROR(VLOOKUP(A84,'Product Master'!D:N,11,0)*E84,"")</f>
        <v/>
      </c>
      <c r="H84" s="8">
        <f>SUMIFS('Product Master'!G:G,'Product Master'!D:D,Inventory!A84)+SUMIFS('Stock In-Out'!I:I,'Stock In-Out'!A:A,Inventory!A84)-SUMIFS('Stock In-Out'!J:J,'Stock In-Out'!A:A,Inventory!A84)</f>
        <v>0</v>
      </c>
      <c r="I84" s="8">
        <f>SUMIFS('Product Master'!H:H,'Product Master'!D:D,Inventory!A84)+SUMIFS('Stock In-Out'!K:K,'Stock In-Out'!A:A,Inventory!A84)-SUMIFS('Stock In-Out'!L:L,'Stock In-Out'!A:A,Inventory!A84)</f>
        <v>0</v>
      </c>
      <c r="J84" s="8">
        <f>SUMIFS('Product Master'!I:I,'Product Master'!D:D,Inventory!A84)+SUMIFS('Stock In-Out'!M:M,'Stock In-Out'!A:A,Inventory!A84)-SUMIFS('Stock In-Out'!N:N,'Stock In-Out'!A:A,Inventory!A84)</f>
        <v>0</v>
      </c>
      <c r="K84" s="8" t="str">
        <f>IFERROR(VLOOKUP(A84,'Product Master'!D:N,7,0),"")</f>
        <v/>
      </c>
      <c r="L84" s="6" t="str">
        <f>IFERROR(VLOOKUP(A84,'Product Master'!D81:F20080,3,0),"")</f>
        <v/>
      </c>
    </row>
    <row r="85" spans="1:12" x14ac:dyDescent="0.2">
      <c r="A85" s="1"/>
      <c r="B85" s="8">
        <f>SUMIFS('Stock In-Out'!D:D,'Stock In-Out'!B:B,"Opening Stock",'Stock In-Out'!A:A,Inventory!A85)</f>
        <v>0</v>
      </c>
      <c r="C85" s="8">
        <f>SUMIFS('Stock In-Out'!D:D,'Stock In-Out'!B:B,"In",'Stock In-Out'!A:A,Inventory!A85)</f>
        <v>0</v>
      </c>
      <c r="D85" s="8">
        <f>SUMIFS('Stock In-Out'!D:D,'Stock In-Out'!B:B,"Out",'Stock In-Out'!A:A,Inventory!A85)</f>
        <v>0</v>
      </c>
      <c r="E85" s="8">
        <f t="shared" si="2"/>
        <v>0</v>
      </c>
      <c r="F85" s="8" t="str">
        <f>IFERROR(VLOOKUP(A85,'Product Master'!D:N,10,0)*E85,"")</f>
        <v/>
      </c>
      <c r="G85" s="9" t="str">
        <f>IFERROR(VLOOKUP(A85,'Product Master'!D:N,11,0)*E85,"")</f>
        <v/>
      </c>
      <c r="H85" s="8">
        <f>SUMIFS('Product Master'!G:G,'Product Master'!D:D,Inventory!A85)+SUMIFS('Stock In-Out'!I:I,'Stock In-Out'!A:A,Inventory!A85)-SUMIFS('Stock In-Out'!J:J,'Stock In-Out'!A:A,Inventory!A85)</f>
        <v>0</v>
      </c>
      <c r="I85" s="8">
        <f>SUMIFS('Product Master'!H:H,'Product Master'!D:D,Inventory!A85)+SUMIFS('Stock In-Out'!K:K,'Stock In-Out'!A:A,Inventory!A85)-SUMIFS('Stock In-Out'!L:L,'Stock In-Out'!A:A,Inventory!A85)</f>
        <v>0</v>
      </c>
      <c r="J85" s="8">
        <f>SUMIFS('Product Master'!I:I,'Product Master'!D:D,Inventory!A85)+SUMIFS('Stock In-Out'!M:M,'Stock In-Out'!A:A,Inventory!A85)-SUMIFS('Stock In-Out'!N:N,'Stock In-Out'!A:A,Inventory!A85)</f>
        <v>0</v>
      </c>
      <c r="K85" s="8" t="str">
        <f>IFERROR(VLOOKUP(A85,'Product Master'!D:N,7,0),"")</f>
        <v/>
      </c>
      <c r="L85" s="6" t="str">
        <f>IFERROR(VLOOKUP(A85,'Product Master'!D82:F20081,3,0),"")</f>
        <v/>
      </c>
    </row>
    <row r="86" spans="1:12" x14ac:dyDescent="0.2">
      <c r="A86" s="1"/>
      <c r="B86" s="8">
        <f>SUMIFS('Stock In-Out'!D:D,'Stock In-Out'!B:B,"Opening Stock",'Stock In-Out'!A:A,Inventory!A86)</f>
        <v>0</v>
      </c>
      <c r="C86" s="8">
        <f>SUMIFS('Stock In-Out'!D:D,'Stock In-Out'!B:B,"In",'Stock In-Out'!A:A,Inventory!A86)</f>
        <v>0</v>
      </c>
      <c r="D86" s="8">
        <f>SUMIFS('Stock In-Out'!D:D,'Stock In-Out'!B:B,"Out",'Stock In-Out'!A:A,Inventory!A86)</f>
        <v>0</v>
      </c>
      <c r="E86" s="8">
        <f t="shared" si="2"/>
        <v>0</v>
      </c>
      <c r="F86" s="8" t="str">
        <f>IFERROR(VLOOKUP(A86,'Product Master'!D:N,10,0)*E86,"")</f>
        <v/>
      </c>
      <c r="G86" s="9" t="str">
        <f>IFERROR(VLOOKUP(A86,'Product Master'!D:N,11,0)*E86,"")</f>
        <v/>
      </c>
      <c r="H86" s="8">
        <f>SUMIFS('Product Master'!G:G,'Product Master'!D:D,Inventory!A86)+SUMIFS('Stock In-Out'!I:I,'Stock In-Out'!A:A,Inventory!A86)-SUMIFS('Stock In-Out'!J:J,'Stock In-Out'!A:A,Inventory!A86)</f>
        <v>0</v>
      </c>
      <c r="I86" s="8">
        <f>SUMIFS('Product Master'!H:H,'Product Master'!D:D,Inventory!A86)+SUMIFS('Stock In-Out'!K:K,'Stock In-Out'!A:A,Inventory!A86)-SUMIFS('Stock In-Out'!L:L,'Stock In-Out'!A:A,Inventory!A86)</f>
        <v>0</v>
      </c>
      <c r="J86" s="8">
        <f>SUMIFS('Product Master'!I:I,'Product Master'!D:D,Inventory!A86)+SUMIFS('Stock In-Out'!M:M,'Stock In-Out'!A:A,Inventory!A86)-SUMIFS('Stock In-Out'!N:N,'Stock In-Out'!A:A,Inventory!A86)</f>
        <v>0</v>
      </c>
      <c r="K86" s="8" t="str">
        <f>IFERROR(VLOOKUP(A86,'Product Master'!D:N,7,0),"")</f>
        <v/>
      </c>
      <c r="L86" s="6" t="str">
        <f>IFERROR(VLOOKUP(A86,'Product Master'!D83:F20082,3,0),"")</f>
        <v/>
      </c>
    </row>
    <row r="87" spans="1:12" x14ac:dyDescent="0.2">
      <c r="A87" s="1"/>
      <c r="B87" s="8">
        <f>SUMIFS('Stock In-Out'!D:D,'Stock In-Out'!B:B,"Opening Stock",'Stock In-Out'!A:A,Inventory!A87)</f>
        <v>0</v>
      </c>
      <c r="C87" s="8">
        <f>SUMIFS('Stock In-Out'!D:D,'Stock In-Out'!B:B,"In",'Stock In-Out'!A:A,Inventory!A87)</f>
        <v>0</v>
      </c>
      <c r="D87" s="8">
        <f>SUMIFS('Stock In-Out'!D:D,'Stock In-Out'!B:B,"Out",'Stock In-Out'!A:A,Inventory!A87)</f>
        <v>0</v>
      </c>
      <c r="E87" s="8">
        <f t="shared" si="2"/>
        <v>0</v>
      </c>
      <c r="F87" s="8" t="str">
        <f>IFERROR(VLOOKUP(A87,'Product Master'!D:N,10,0)*E87,"")</f>
        <v/>
      </c>
      <c r="G87" s="9" t="str">
        <f>IFERROR(VLOOKUP(A87,'Product Master'!D:N,11,0)*E87,"")</f>
        <v/>
      </c>
      <c r="H87" s="8">
        <f>SUMIFS('Product Master'!G:G,'Product Master'!D:D,Inventory!A87)+SUMIFS('Stock In-Out'!I:I,'Stock In-Out'!A:A,Inventory!A87)-SUMIFS('Stock In-Out'!J:J,'Stock In-Out'!A:A,Inventory!A87)</f>
        <v>0</v>
      </c>
      <c r="I87" s="8">
        <f>SUMIFS('Product Master'!H:H,'Product Master'!D:D,Inventory!A87)+SUMIFS('Stock In-Out'!K:K,'Stock In-Out'!A:A,Inventory!A87)-SUMIFS('Stock In-Out'!L:L,'Stock In-Out'!A:A,Inventory!A87)</f>
        <v>0</v>
      </c>
      <c r="J87" s="8">
        <f>SUMIFS('Product Master'!I:I,'Product Master'!D:D,Inventory!A87)+SUMIFS('Stock In-Out'!M:M,'Stock In-Out'!A:A,Inventory!A87)-SUMIFS('Stock In-Out'!N:N,'Stock In-Out'!A:A,Inventory!A87)</f>
        <v>0</v>
      </c>
      <c r="K87" s="8" t="str">
        <f>IFERROR(VLOOKUP(A87,'Product Master'!D:N,7,0),"")</f>
        <v/>
      </c>
      <c r="L87" s="6" t="str">
        <f>IFERROR(VLOOKUP(A87,'Product Master'!D84:F20083,3,0),"")</f>
        <v/>
      </c>
    </row>
    <row r="88" spans="1:12" x14ac:dyDescent="0.2">
      <c r="A88" s="1"/>
      <c r="B88" s="8">
        <f>SUMIFS('Stock In-Out'!D:D,'Stock In-Out'!B:B,"Opening Stock",'Stock In-Out'!A:A,Inventory!A88)</f>
        <v>0</v>
      </c>
      <c r="C88" s="8">
        <f>SUMIFS('Stock In-Out'!D:D,'Stock In-Out'!B:B,"In",'Stock In-Out'!A:A,Inventory!A88)</f>
        <v>0</v>
      </c>
      <c r="D88" s="8">
        <f>SUMIFS('Stock In-Out'!D:D,'Stock In-Out'!B:B,"Out",'Stock In-Out'!A:A,Inventory!A88)</f>
        <v>0</v>
      </c>
      <c r="E88" s="8">
        <f t="shared" si="2"/>
        <v>0</v>
      </c>
      <c r="F88" s="8" t="str">
        <f>IFERROR(VLOOKUP(A88,'Product Master'!D:N,10,0)*E88,"")</f>
        <v/>
      </c>
      <c r="G88" s="9" t="str">
        <f>IFERROR(VLOOKUP(A88,'Product Master'!D:N,11,0)*E88,"")</f>
        <v/>
      </c>
      <c r="H88" s="8">
        <f>SUMIFS('Product Master'!G:G,'Product Master'!D:D,Inventory!A88)+SUMIFS('Stock In-Out'!I:I,'Stock In-Out'!A:A,Inventory!A88)-SUMIFS('Stock In-Out'!J:J,'Stock In-Out'!A:A,Inventory!A88)</f>
        <v>0</v>
      </c>
      <c r="I88" s="8">
        <f>SUMIFS('Product Master'!H:H,'Product Master'!D:D,Inventory!A88)+SUMIFS('Stock In-Out'!K:K,'Stock In-Out'!A:A,Inventory!A88)-SUMIFS('Stock In-Out'!L:L,'Stock In-Out'!A:A,Inventory!A88)</f>
        <v>0</v>
      </c>
      <c r="J88" s="8">
        <f>SUMIFS('Product Master'!I:I,'Product Master'!D:D,Inventory!A88)+SUMIFS('Stock In-Out'!M:M,'Stock In-Out'!A:A,Inventory!A88)-SUMIFS('Stock In-Out'!N:N,'Stock In-Out'!A:A,Inventory!A88)</f>
        <v>0</v>
      </c>
      <c r="K88" s="8" t="str">
        <f>IFERROR(VLOOKUP(A88,'Product Master'!D:N,7,0),"")</f>
        <v/>
      </c>
      <c r="L88" s="6" t="str">
        <f>IFERROR(VLOOKUP(A88,'Product Master'!D85:F20084,3,0),"")</f>
        <v/>
      </c>
    </row>
    <row r="89" spans="1:12" x14ac:dyDescent="0.2">
      <c r="A89" s="1"/>
      <c r="B89" s="8">
        <f>SUMIFS('Stock In-Out'!D:D,'Stock In-Out'!B:B,"Opening Stock",'Stock In-Out'!A:A,Inventory!A89)</f>
        <v>0</v>
      </c>
      <c r="C89" s="8">
        <f>SUMIFS('Stock In-Out'!D:D,'Stock In-Out'!B:B,"In",'Stock In-Out'!A:A,Inventory!A89)</f>
        <v>0</v>
      </c>
      <c r="D89" s="8">
        <f>SUMIFS('Stock In-Out'!D:D,'Stock In-Out'!B:B,"Out",'Stock In-Out'!A:A,Inventory!A89)</f>
        <v>0</v>
      </c>
      <c r="E89" s="8">
        <f t="shared" si="2"/>
        <v>0</v>
      </c>
      <c r="F89" s="8" t="str">
        <f>IFERROR(VLOOKUP(A89,'Product Master'!D:N,10,0)*E89,"")</f>
        <v/>
      </c>
      <c r="G89" s="9" t="str">
        <f>IFERROR(VLOOKUP(A89,'Product Master'!D:N,11,0)*E89,"")</f>
        <v/>
      </c>
      <c r="H89" s="8">
        <f>SUMIFS('Product Master'!G:G,'Product Master'!D:D,Inventory!A89)+SUMIFS('Stock In-Out'!I:I,'Stock In-Out'!A:A,Inventory!A89)-SUMIFS('Stock In-Out'!J:J,'Stock In-Out'!A:A,Inventory!A89)</f>
        <v>0</v>
      </c>
      <c r="I89" s="8">
        <f>SUMIFS('Product Master'!H:H,'Product Master'!D:D,Inventory!A89)+SUMIFS('Stock In-Out'!K:K,'Stock In-Out'!A:A,Inventory!A89)-SUMIFS('Stock In-Out'!L:L,'Stock In-Out'!A:A,Inventory!A89)</f>
        <v>0</v>
      </c>
      <c r="J89" s="8">
        <f>SUMIFS('Product Master'!I:I,'Product Master'!D:D,Inventory!A89)+SUMIFS('Stock In-Out'!M:M,'Stock In-Out'!A:A,Inventory!A89)-SUMIFS('Stock In-Out'!N:N,'Stock In-Out'!A:A,Inventory!A89)</f>
        <v>0</v>
      </c>
      <c r="K89" s="8" t="str">
        <f>IFERROR(VLOOKUP(A89,'Product Master'!D:N,7,0),"")</f>
        <v/>
      </c>
      <c r="L89" s="6" t="str">
        <f>IFERROR(VLOOKUP(A89,'Product Master'!D86:F20085,3,0),"")</f>
        <v/>
      </c>
    </row>
    <row r="90" spans="1:12" x14ac:dyDescent="0.2">
      <c r="A90" s="1"/>
      <c r="B90" s="8">
        <f>SUMIFS('Stock In-Out'!D:D,'Stock In-Out'!B:B,"Opening Stock",'Stock In-Out'!A:A,Inventory!A90)</f>
        <v>0</v>
      </c>
      <c r="C90" s="8">
        <f>SUMIFS('Stock In-Out'!D:D,'Stock In-Out'!B:B,"In",'Stock In-Out'!A:A,Inventory!A90)</f>
        <v>0</v>
      </c>
      <c r="D90" s="8">
        <f>SUMIFS('Stock In-Out'!D:D,'Stock In-Out'!B:B,"Out",'Stock In-Out'!A:A,Inventory!A90)</f>
        <v>0</v>
      </c>
      <c r="E90" s="8">
        <f t="shared" si="2"/>
        <v>0</v>
      </c>
      <c r="F90" s="8" t="str">
        <f>IFERROR(VLOOKUP(A90,'Product Master'!D:N,10,0)*E90,"")</f>
        <v/>
      </c>
      <c r="G90" s="9" t="str">
        <f>IFERROR(VLOOKUP(A90,'Product Master'!D:N,11,0)*E90,"")</f>
        <v/>
      </c>
      <c r="H90" s="8">
        <f>SUMIFS('Product Master'!G:G,'Product Master'!D:D,Inventory!A90)+SUMIFS('Stock In-Out'!I:I,'Stock In-Out'!A:A,Inventory!A90)-SUMIFS('Stock In-Out'!J:J,'Stock In-Out'!A:A,Inventory!A90)</f>
        <v>0</v>
      </c>
      <c r="I90" s="8">
        <f>SUMIFS('Product Master'!H:H,'Product Master'!D:D,Inventory!A90)+SUMIFS('Stock In-Out'!K:K,'Stock In-Out'!A:A,Inventory!A90)-SUMIFS('Stock In-Out'!L:L,'Stock In-Out'!A:A,Inventory!A90)</f>
        <v>0</v>
      </c>
      <c r="J90" s="8">
        <f>SUMIFS('Product Master'!I:I,'Product Master'!D:D,Inventory!A90)+SUMIFS('Stock In-Out'!M:M,'Stock In-Out'!A:A,Inventory!A90)-SUMIFS('Stock In-Out'!N:N,'Stock In-Out'!A:A,Inventory!A90)</f>
        <v>0</v>
      </c>
      <c r="K90" s="8" t="str">
        <f>IFERROR(VLOOKUP(A90,'Product Master'!D:N,7,0),"")</f>
        <v/>
      </c>
      <c r="L90" s="6" t="str">
        <f>IFERROR(VLOOKUP(A90,'Product Master'!D87:F20086,3,0),"")</f>
        <v/>
      </c>
    </row>
    <row r="91" spans="1:12" x14ac:dyDescent="0.2">
      <c r="A91" s="1"/>
      <c r="B91" s="8">
        <f>SUMIFS('Stock In-Out'!D:D,'Stock In-Out'!B:B,"Opening Stock",'Stock In-Out'!A:A,Inventory!A91)</f>
        <v>0</v>
      </c>
      <c r="C91" s="8">
        <f>SUMIFS('Stock In-Out'!D:D,'Stock In-Out'!B:B,"In",'Stock In-Out'!A:A,Inventory!A91)</f>
        <v>0</v>
      </c>
      <c r="D91" s="8">
        <f>SUMIFS('Stock In-Out'!D:D,'Stock In-Out'!B:B,"Out",'Stock In-Out'!A:A,Inventory!A91)</f>
        <v>0</v>
      </c>
      <c r="E91" s="8">
        <f t="shared" si="2"/>
        <v>0</v>
      </c>
      <c r="F91" s="8" t="str">
        <f>IFERROR(VLOOKUP(A91,'Product Master'!D:N,10,0)*E91,"")</f>
        <v/>
      </c>
      <c r="G91" s="9" t="str">
        <f>IFERROR(VLOOKUP(A91,'Product Master'!D:N,11,0)*E91,"")</f>
        <v/>
      </c>
      <c r="H91" s="8">
        <f>SUMIFS('Product Master'!G:G,'Product Master'!D:D,Inventory!A91)+SUMIFS('Stock In-Out'!I:I,'Stock In-Out'!A:A,Inventory!A91)-SUMIFS('Stock In-Out'!J:J,'Stock In-Out'!A:A,Inventory!A91)</f>
        <v>0</v>
      </c>
      <c r="I91" s="8">
        <f>SUMIFS('Product Master'!H:H,'Product Master'!D:D,Inventory!A91)+SUMIFS('Stock In-Out'!K:K,'Stock In-Out'!A:A,Inventory!A91)-SUMIFS('Stock In-Out'!L:L,'Stock In-Out'!A:A,Inventory!A91)</f>
        <v>0</v>
      </c>
      <c r="J91" s="8">
        <f>SUMIFS('Product Master'!I:I,'Product Master'!D:D,Inventory!A91)+SUMIFS('Stock In-Out'!M:M,'Stock In-Out'!A:A,Inventory!A91)-SUMIFS('Stock In-Out'!N:N,'Stock In-Out'!A:A,Inventory!A91)</f>
        <v>0</v>
      </c>
      <c r="K91" s="8" t="str">
        <f>IFERROR(VLOOKUP(A91,'Product Master'!D:N,7,0),"")</f>
        <v/>
      </c>
      <c r="L91" s="6" t="str">
        <f>IFERROR(VLOOKUP(A91,'Product Master'!D88:F20087,3,0),"")</f>
        <v/>
      </c>
    </row>
    <row r="92" spans="1:12" x14ac:dyDescent="0.2">
      <c r="A92" s="1"/>
      <c r="B92" s="8">
        <f>SUMIFS('Stock In-Out'!D:D,'Stock In-Out'!B:B,"Opening Stock",'Stock In-Out'!A:A,Inventory!A92)</f>
        <v>0</v>
      </c>
      <c r="C92" s="8">
        <f>SUMIFS('Stock In-Out'!D:D,'Stock In-Out'!B:B,"In",'Stock In-Out'!A:A,Inventory!A92)</f>
        <v>0</v>
      </c>
      <c r="D92" s="8">
        <f>SUMIFS('Stock In-Out'!D:D,'Stock In-Out'!B:B,"Out",'Stock In-Out'!A:A,Inventory!A92)</f>
        <v>0</v>
      </c>
      <c r="E92" s="8">
        <f t="shared" si="2"/>
        <v>0</v>
      </c>
      <c r="F92" s="8" t="str">
        <f>IFERROR(VLOOKUP(A92,'Product Master'!D:N,10,0)*E92,"")</f>
        <v/>
      </c>
      <c r="G92" s="9" t="str">
        <f>IFERROR(VLOOKUP(A92,'Product Master'!D:N,11,0)*E92,"")</f>
        <v/>
      </c>
      <c r="H92" s="8">
        <f>SUMIFS('Product Master'!G:G,'Product Master'!D:D,Inventory!A92)+SUMIFS('Stock In-Out'!I:I,'Stock In-Out'!A:A,Inventory!A92)-SUMIFS('Stock In-Out'!J:J,'Stock In-Out'!A:A,Inventory!A92)</f>
        <v>0</v>
      </c>
      <c r="I92" s="8">
        <f>SUMIFS('Product Master'!H:H,'Product Master'!D:D,Inventory!A92)+SUMIFS('Stock In-Out'!K:K,'Stock In-Out'!A:A,Inventory!A92)-SUMIFS('Stock In-Out'!L:L,'Stock In-Out'!A:A,Inventory!A92)</f>
        <v>0</v>
      </c>
      <c r="J92" s="8">
        <f>SUMIFS('Product Master'!I:I,'Product Master'!D:D,Inventory!A92)+SUMIFS('Stock In-Out'!M:M,'Stock In-Out'!A:A,Inventory!A92)-SUMIFS('Stock In-Out'!N:N,'Stock In-Out'!A:A,Inventory!A92)</f>
        <v>0</v>
      </c>
      <c r="K92" s="8" t="str">
        <f>IFERROR(VLOOKUP(A92,'Product Master'!D:N,7,0),"")</f>
        <v/>
      </c>
      <c r="L92" s="6" t="str">
        <f>IFERROR(VLOOKUP(A92,'Product Master'!D89:F20088,3,0),"")</f>
        <v/>
      </c>
    </row>
    <row r="93" spans="1:12" x14ac:dyDescent="0.2">
      <c r="A93" s="1"/>
      <c r="B93" s="8">
        <f>SUMIFS('Stock In-Out'!D:D,'Stock In-Out'!B:B,"Opening Stock",'Stock In-Out'!A:A,Inventory!A93)</f>
        <v>0</v>
      </c>
      <c r="C93" s="8">
        <f>SUMIFS('Stock In-Out'!D:D,'Stock In-Out'!B:B,"In",'Stock In-Out'!A:A,Inventory!A93)</f>
        <v>0</v>
      </c>
      <c r="D93" s="8">
        <f>SUMIFS('Stock In-Out'!D:D,'Stock In-Out'!B:B,"Out",'Stock In-Out'!A:A,Inventory!A93)</f>
        <v>0</v>
      </c>
      <c r="E93" s="8">
        <f t="shared" si="2"/>
        <v>0</v>
      </c>
      <c r="F93" s="8" t="str">
        <f>IFERROR(VLOOKUP(A93,'Product Master'!D:N,10,0)*E93,"")</f>
        <v/>
      </c>
      <c r="G93" s="9" t="str">
        <f>IFERROR(VLOOKUP(A93,'Product Master'!D:N,11,0)*E93,"")</f>
        <v/>
      </c>
      <c r="H93" s="8">
        <f>SUMIFS('Product Master'!G:G,'Product Master'!D:D,Inventory!A93)+SUMIFS('Stock In-Out'!I:I,'Stock In-Out'!A:A,Inventory!A93)-SUMIFS('Stock In-Out'!J:J,'Stock In-Out'!A:A,Inventory!A93)</f>
        <v>0</v>
      </c>
      <c r="I93" s="8">
        <f>SUMIFS('Product Master'!H:H,'Product Master'!D:D,Inventory!A93)+SUMIFS('Stock In-Out'!K:K,'Stock In-Out'!A:A,Inventory!A93)-SUMIFS('Stock In-Out'!L:L,'Stock In-Out'!A:A,Inventory!A93)</f>
        <v>0</v>
      </c>
      <c r="J93" s="8">
        <f>SUMIFS('Product Master'!I:I,'Product Master'!D:D,Inventory!A93)+SUMIFS('Stock In-Out'!M:M,'Stock In-Out'!A:A,Inventory!A93)-SUMIFS('Stock In-Out'!N:N,'Stock In-Out'!A:A,Inventory!A93)</f>
        <v>0</v>
      </c>
      <c r="K93" s="8" t="str">
        <f>IFERROR(VLOOKUP(A93,'Product Master'!D:N,7,0),"")</f>
        <v/>
      </c>
      <c r="L93" s="6" t="str">
        <f>IFERROR(VLOOKUP(A93,'Product Master'!D90:F20089,3,0),"")</f>
        <v/>
      </c>
    </row>
    <row r="94" spans="1:12" x14ac:dyDescent="0.2">
      <c r="A94" s="1"/>
      <c r="B94" s="8">
        <f>SUMIFS('Stock In-Out'!D:D,'Stock In-Out'!B:B,"Opening Stock",'Stock In-Out'!A:A,Inventory!A94)</f>
        <v>0</v>
      </c>
      <c r="C94" s="8">
        <f>SUMIFS('Stock In-Out'!D:D,'Stock In-Out'!B:B,"In",'Stock In-Out'!A:A,Inventory!A94)</f>
        <v>0</v>
      </c>
      <c r="D94" s="8">
        <f>SUMIFS('Stock In-Out'!D:D,'Stock In-Out'!B:B,"Out",'Stock In-Out'!A:A,Inventory!A94)</f>
        <v>0</v>
      </c>
      <c r="E94" s="8">
        <f t="shared" si="2"/>
        <v>0</v>
      </c>
      <c r="F94" s="8" t="str">
        <f>IFERROR(VLOOKUP(A94,'Product Master'!D:N,10,0)*E94,"")</f>
        <v/>
      </c>
      <c r="G94" s="9" t="str">
        <f>IFERROR(VLOOKUP(A94,'Product Master'!D:N,11,0)*E94,"")</f>
        <v/>
      </c>
      <c r="H94" s="8">
        <f>SUMIFS('Product Master'!G:G,'Product Master'!D:D,Inventory!A94)+SUMIFS('Stock In-Out'!I:I,'Stock In-Out'!A:A,Inventory!A94)-SUMIFS('Stock In-Out'!J:J,'Stock In-Out'!A:A,Inventory!A94)</f>
        <v>0</v>
      </c>
      <c r="I94" s="8">
        <f>SUMIFS('Product Master'!H:H,'Product Master'!D:D,Inventory!A94)+SUMIFS('Stock In-Out'!K:K,'Stock In-Out'!A:A,Inventory!A94)-SUMIFS('Stock In-Out'!L:L,'Stock In-Out'!A:A,Inventory!A94)</f>
        <v>0</v>
      </c>
      <c r="J94" s="8">
        <f>SUMIFS('Product Master'!I:I,'Product Master'!D:D,Inventory!A94)+SUMIFS('Stock In-Out'!M:M,'Stock In-Out'!A:A,Inventory!A94)-SUMIFS('Stock In-Out'!N:N,'Stock In-Out'!A:A,Inventory!A94)</f>
        <v>0</v>
      </c>
      <c r="K94" s="8" t="str">
        <f>IFERROR(VLOOKUP(A94,'Product Master'!D:N,7,0),"")</f>
        <v/>
      </c>
      <c r="L94" s="6" t="str">
        <f>IFERROR(VLOOKUP(A94,'Product Master'!D91:F20090,3,0),"")</f>
        <v/>
      </c>
    </row>
    <row r="95" spans="1:12" x14ac:dyDescent="0.2">
      <c r="A95" s="1"/>
      <c r="B95" s="8">
        <f>SUMIFS('Stock In-Out'!D:D,'Stock In-Out'!B:B,"Opening Stock",'Stock In-Out'!A:A,Inventory!A95)</f>
        <v>0</v>
      </c>
      <c r="C95" s="8">
        <f>SUMIFS('Stock In-Out'!D:D,'Stock In-Out'!B:B,"In",'Stock In-Out'!A:A,Inventory!A95)</f>
        <v>0</v>
      </c>
      <c r="D95" s="8">
        <f>SUMIFS('Stock In-Out'!D:D,'Stock In-Out'!B:B,"Out",'Stock In-Out'!A:A,Inventory!A95)</f>
        <v>0</v>
      </c>
      <c r="E95" s="8">
        <f t="shared" si="2"/>
        <v>0</v>
      </c>
      <c r="F95" s="8" t="str">
        <f>IFERROR(VLOOKUP(A95,'Product Master'!D:N,10,0)*E95,"")</f>
        <v/>
      </c>
      <c r="G95" s="9" t="str">
        <f>IFERROR(VLOOKUP(A95,'Product Master'!D:N,11,0)*E95,"")</f>
        <v/>
      </c>
      <c r="H95" s="8">
        <f>SUMIFS('Product Master'!G:G,'Product Master'!D:D,Inventory!A95)+SUMIFS('Stock In-Out'!I:I,'Stock In-Out'!A:A,Inventory!A95)-SUMIFS('Stock In-Out'!J:J,'Stock In-Out'!A:A,Inventory!A95)</f>
        <v>0</v>
      </c>
      <c r="I95" s="8">
        <f>SUMIFS('Product Master'!H:H,'Product Master'!D:D,Inventory!A95)+SUMIFS('Stock In-Out'!K:K,'Stock In-Out'!A:A,Inventory!A95)-SUMIFS('Stock In-Out'!L:L,'Stock In-Out'!A:A,Inventory!A95)</f>
        <v>0</v>
      </c>
      <c r="J95" s="8">
        <f>SUMIFS('Product Master'!I:I,'Product Master'!D:D,Inventory!A95)+SUMIFS('Stock In-Out'!M:M,'Stock In-Out'!A:A,Inventory!A95)-SUMIFS('Stock In-Out'!N:N,'Stock In-Out'!A:A,Inventory!A95)</f>
        <v>0</v>
      </c>
      <c r="K95" s="8" t="str">
        <f>IFERROR(VLOOKUP(A95,'Product Master'!D:N,7,0),"")</f>
        <v/>
      </c>
      <c r="L95" s="6" t="str">
        <f>IFERROR(VLOOKUP(A95,'Product Master'!D92:F20091,3,0),"")</f>
        <v/>
      </c>
    </row>
    <row r="96" spans="1:12" x14ac:dyDescent="0.2">
      <c r="A96" s="1"/>
      <c r="B96" s="8">
        <f>SUMIFS('Stock In-Out'!D:D,'Stock In-Out'!B:B,"Opening Stock",'Stock In-Out'!A:A,Inventory!A96)</f>
        <v>0</v>
      </c>
      <c r="C96" s="8">
        <f>SUMIFS('Stock In-Out'!D:D,'Stock In-Out'!B:B,"In",'Stock In-Out'!A:A,Inventory!A96)</f>
        <v>0</v>
      </c>
      <c r="D96" s="8">
        <f>SUMIFS('Stock In-Out'!D:D,'Stock In-Out'!B:B,"Out",'Stock In-Out'!A:A,Inventory!A96)</f>
        <v>0</v>
      </c>
      <c r="E96" s="8">
        <f t="shared" si="2"/>
        <v>0</v>
      </c>
      <c r="F96" s="8" t="str">
        <f>IFERROR(VLOOKUP(A96,'Product Master'!D:N,10,0)*E96,"")</f>
        <v/>
      </c>
      <c r="G96" s="9" t="str">
        <f>IFERROR(VLOOKUP(A96,'Product Master'!D:N,11,0)*E96,"")</f>
        <v/>
      </c>
      <c r="H96" s="8">
        <f>SUMIFS('Product Master'!G:G,'Product Master'!D:D,Inventory!A96)+SUMIFS('Stock In-Out'!I:I,'Stock In-Out'!A:A,Inventory!A96)-SUMIFS('Stock In-Out'!J:J,'Stock In-Out'!A:A,Inventory!A96)</f>
        <v>0</v>
      </c>
      <c r="I96" s="8">
        <f>SUMIFS('Product Master'!H:H,'Product Master'!D:D,Inventory!A96)+SUMIFS('Stock In-Out'!K:K,'Stock In-Out'!A:A,Inventory!A96)-SUMIFS('Stock In-Out'!L:L,'Stock In-Out'!A:A,Inventory!A96)</f>
        <v>0</v>
      </c>
      <c r="J96" s="8">
        <f>SUMIFS('Product Master'!I:I,'Product Master'!D:D,Inventory!A96)+SUMIFS('Stock In-Out'!M:M,'Stock In-Out'!A:A,Inventory!A96)-SUMIFS('Stock In-Out'!N:N,'Stock In-Out'!A:A,Inventory!A96)</f>
        <v>0</v>
      </c>
      <c r="K96" s="8" t="str">
        <f>IFERROR(VLOOKUP(A96,'Product Master'!D:N,7,0),"")</f>
        <v/>
      </c>
      <c r="L96" s="6" t="str">
        <f>IFERROR(VLOOKUP(A96,'Product Master'!D93:F20092,3,0),"")</f>
        <v/>
      </c>
    </row>
    <row r="97" spans="1:12" x14ac:dyDescent="0.2">
      <c r="A97" s="1"/>
      <c r="B97" s="8">
        <f>SUMIFS('Stock In-Out'!D:D,'Stock In-Out'!B:B,"Opening Stock",'Stock In-Out'!A:A,Inventory!A97)</f>
        <v>0</v>
      </c>
      <c r="C97" s="8">
        <f>SUMIFS('Stock In-Out'!D:D,'Stock In-Out'!B:B,"In",'Stock In-Out'!A:A,Inventory!A97)</f>
        <v>0</v>
      </c>
      <c r="D97" s="8">
        <f>SUMIFS('Stock In-Out'!D:D,'Stock In-Out'!B:B,"Out",'Stock In-Out'!A:A,Inventory!A97)</f>
        <v>0</v>
      </c>
      <c r="E97" s="8">
        <f t="shared" si="2"/>
        <v>0</v>
      </c>
      <c r="F97" s="8" t="str">
        <f>IFERROR(VLOOKUP(A97,'Product Master'!D:N,10,0)*E97,"")</f>
        <v/>
      </c>
      <c r="G97" s="9" t="str">
        <f>IFERROR(VLOOKUP(A97,'Product Master'!D:N,11,0)*E97,"")</f>
        <v/>
      </c>
      <c r="H97" s="8">
        <f>SUMIFS('Product Master'!G:G,'Product Master'!D:D,Inventory!A97)+SUMIFS('Stock In-Out'!I:I,'Stock In-Out'!A:A,Inventory!A97)-SUMIFS('Stock In-Out'!J:J,'Stock In-Out'!A:A,Inventory!A97)</f>
        <v>0</v>
      </c>
      <c r="I97" s="8">
        <f>SUMIFS('Product Master'!H:H,'Product Master'!D:D,Inventory!A97)+SUMIFS('Stock In-Out'!K:K,'Stock In-Out'!A:A,Inventory!A97)-SUMIFS('Stock In-Out'!L:L,'Stock In-Out'!A:A,Inventory!A97)</f>
        <v>0</v>
      </c>
      <c r="J97" s="8">
        <f>SUMIFS('Product Master'!I:I,'Product Master'!D:D,Inventory!A97)+SUMIFS('Stock In-Out'!M:M,'Stock In-Out'!A:A,Inventory!A97)-SUMIFS('Stock In-Out'!N:N,'Stock In-Out'!A:A,Inventory!A97)</f>
        <v>0</v>
      </c>
      <c r="K97" s="8" t="str">
        <f>IFERROR(VLOOKUP(A97,'Product Master'!D:N,7,0),"")</f>
        <v/>
      </c>
      <c r="L97" s="6" t="str">
        <f>IFERROR(VLOOKUP(A97,'Product Master'!D94:F20093,3,0),"")</f>
        <v/>
      </c>
    </row>
    <row r="98" spans="1:12" x14ac:dyDescent="0.2">
      <c r="A98" s="1"/>
      <c r="B98" s="8">
        <f>SUMIFS('Stock In-Out'!D:D,'Stock In-Out'!B:B,"Opening Stock",'Stock In-Out'!A:A,Inventory!A98)</f>
        <v>0</v>
      </c>
      <c r="C98" s="8">
        <f>SUMIFS('Stock In-Out'!D:D,'Stock In-Out'!B:B,"In",'Stock In-Out'!A:A,Inventory!A98)</f>
        <v>0</v>
      </c>
      <c r="D98" s="8">
        <f>SUMIFS('Stock In-Out'!D:D,'Stock In-Out'!B:B,"Out",'Stock In-Out'!A:A,Inventory!A98)</f>
        <v>0</v>
      </c>
      <c r="E98" s="8">
        <f t="shared" si="2"/>
        <v>0</v>
      </c>
      <c r="F98" s="8" t="str">
        <f>IFERROR(VLOOKUP(A98,'Product Master'!D:N,10,0)*E98,"")</f>
        <v/>
      </c>
      <c r="G98" s="9" t="str">
        <f>IFERROR(VLOOKUP(A98,'Product Master'!D:N,11,0)*E98,"")</f>
        <v/>
      </c>
      <c r="H98" s="8">
        <f>SUMIFS('Product Master'!G:G,'Product Master'!D:D,Inventory!A98)+SUMIFS('Stock In-Out'!I:I,'Stock In-Out'!A:A,Inventory!A98)-SUMIFS('Stock In-Out'!J:J,'Stock In-Out'!A:A,Inventory!A98)</f>
        <v>0</v>
      </c>
      <c r="I98" s="8">
        <f>SUMIFS('Product Master'!H:H,'Product Master'!D:D,Inventory!A98)+SUMIFS('Stock In-Out'!K:K,'Stock In-Out'!A:A,Inventory!A98)-SUMIFS('Stock In-Out'!L:L,'Stock In-Out'!A:A,Inventory!A98)</f>
        <v>0</v>
      </c>
      <c r="J98" s="8">
        <f>SUMIFS('Product Master'!I:I,'Product Master'!D:D,Inventory!A98)+SUMIFS('Stock In-Out'!M:M,'Stock In-Out'!A:A,Inventory!A98)-SUMIFS('Stock In-Out'!N:N,'Stock In-Out'!A:A,Inventory!A98)</f>
        <v>0</v>
      </c>
      <c r="K98" s="8" t="str">
        <f>IFERROR(VLOOKUP(A98,'Product Master'!D:N,7,0),"")</f>
        <v/>
      </c>
      <c r="L98" s="6" t="str">
        <f>IFERROR(VLOOKUP(A98,'Product Master'!D95:F20094,3,0),"")</f>
        <v/>
      </c>
    </row>
    <row r="99" spans="1:12" x14ac:dyDescent="0.2">
      <c r="A99" s="1"/>
      <c r="B99" s="8">
        <f>SUMIFS('Stock In-Out'!D:D,'Stock In-Out'!B:B,"Opening Stock",'Stock In-Out'!A:A,Inventory!A99)</f>
        <v>0</v>
      </c>
      <c r="C99" s="8">
        <f>SUMIFS('Stock In-Out'!D:D,'Stock In-Out'!B:B,"In",'Stock In-Out'!A:A,Inventory!A99)</f>
        <v>0</v>
      </c>
      <c r="D99" s="8">
        <f>SUMIFS('Stock In-Out'!D:D,'Stock In-Out'!B:B,"Out",'Stock In-Out'!A:A,Inventory!A99)</f>
        <v>0</v>
      </c>
      <c r="E99" s="8">
        <f t="shared" si="2"/>
        <v>0</v>
      </c>
      <c r="F99" s="8" t="str">
        <f>IFERROR(VLOOKUP(A99,'Product Master'!D:N,10,0)*E99,"")</f>
        <v/>
      </c>
      <c r="G99" s="9" t="str">
        <f>IFERROR(VLOOKUP(A99,'Product Master'!D:N,11,0)*E99,"")</f>
        <v/>
      </c>
      <c r="H99" s="8">
        <f>SUMIFS('Product Master'!G:G,'Product Master'!D:D,Inventory!A99)+SUMIFS('Stock In-Out'!I:I,'Stock In-Out'!A:A,Inventory!A99)-SUMIFS('Stock In-Out'!J:J,'Stock In-Out'!A:A,Inventory!A99)</f>
        <v>0</v>
      </c>
      <c r="I99" s="8">
        <f>SUMIFS('Product Master'!H:H,'Product Master'!D:D,Inventory!A99)+SUMIFS('Stock In-Out'!K:K,'Stock In-Out'!A:A,Inventory!A99)-SUMIFS('Stock In-Out'!L:L,'Stock In-Out'!A:A,Inventory!A99)</f>
        <v>0</v>
      </c>
      <c r="J99" s="8">
        <f>SUMIFS('Product Master'!I:I,'Product Master'!D:D,Inventory!A99)+SUMIFS('Stock In-Out'!M:M,'Stock In-Out'!A:A,Inventory!A99)-SUMIFS('Stock In-Out'!N:N,'Stock In-Out'!A:A,Inventory!A99)</f>
        <v>0</v>
      </c>
      <c r="K99" s="8" t="str">
        <f>IFERROR(VLOOKUP(A99,'Product Master'!D:N,7,0),"")</f>
        <v/>
      </c>
      <c r="L99" s="6" t="str">
        <f>IFERROR(VLOOKUP(A99,'Product Master'!D96:F20095,3,0),"")</f>
        <v/>
      </c>
    </row>
    <row r="100" spans="1:12" x14ac:dyDescent="0.2">
      <c r="A100" s="1"/>
      <c r="B100" s="8">
        <f>SUMIFS('Stock In-Out'!D:D,'Stock In-Out'!B:B,"Opening Stock",'Stock In-Out'!A:A,Inventory!A100)</f>
        <v>0</v>
      </c>
      <c r="C100" s="8">
        <f>SUMIFS('Stock In-Out'!D:D,'Stock In-Out'!B:B,"In",'Stock In-Out'!A:A,Inventory!A100)</f>
        <v>0</v>
      </c>
      <c r="D100" s="8">
        <f>SUMIFS('Stock In-Out'!D:D,'Stock In-Out'!B:B,"Out",'Stock In-Out'!A:A,Inventory!A100)</f>
        <v>0</v>
      </c>
      <c r="E100" s="8">
        <f t="shared" si="2"/>
        <v>0</v>
      </c>
      <c r="F100" s="8" t="str">
        <f>IFERROR(VLOOKUP(A100,'Product Master'!D:N,10,0)*E100,"")</f>
        <v/>
      </c>
      <c r="G100" s="9" t="str">
        <f>IFERROR(VLOOKUP(A100,'Product Master'!D:N,11,0)*E100,"")</f>
        <v/>
      </c>
      <c r="H100" s="8">
        <f>SUMIFS('Product Master'!G:G,'Product Master'!D:D,Inventory!A100)+SUMIFS('Stock In-Out'!I:I,'Stock In-Out'!A:A,Inventory!A100)-SUMIFS('Stock In-Out'!J:J,'Stock In-Out'!A:A,Inventory!A100)</f>
        <v>0</v>
      </c>
      <c r="I100" s="8">
        <f>SUMIFS('Product Master'!H:H,'Product Master'!D:D,Inventory!A100)+SUMIFS('Stock In-Out'!K:K,'Stock In-Out'!A:A,Inventory!A100)-SUMIFS('Stock In-Out'!L:L,'Stock In-Out'!A:A,Inventory!A100)</f>
        <v>0</v>
      </c>
      <c r="J100" s="8">
        <f>SUMIFS('Product Master'!I:I,'Product Master'!D:D,Inventory!A100)+SUMIFS('Stock In-Out'!M:M,'Stock In-Out'!A:A,Inventory!A100)-SUMIFS('Stock In-Out'!N:N,'Stock In-Out'!A:A,Inventory!A100)</f>
        <v>0</v>
      </c>
      <c r="K100" s="8" t="str">
        <f>IFERROR(VLOOKUP(A100,'Product Master'!D:N,7,0),"")</f>
        <v/>
      </c>
      <c r="L100" s="6" t="str">
        <f>IFERROR(VLOOKUP(A100,'Product Master'!D97:F20096,3,0),"")</f>
        <v/>
      </c>
    </row>
    <row r="101" spans="1:12" x14ac:dyDescent="0.2">
      <c r="A101" s="1"/>
      <c r="B101" s="8">
        <f>SUMIFS('Stock In-Out'!D:D,'Stock In-Out'!B:B,"Opening Stock",'Stock In-Out'!A:A,Inventory!A101)</f>
        <v>0</v>
      </c>
      <c r="C101" s="8">
        <f>SUMIFS('Stock In-Out'!D:D,'Stock In-Out'!B:B,"In",'Stock In-Out'!A:A,Inventory!A101)</f>
        <v>0</v>
      </c>
      <c r="D101" s="8">
        <f>SUMIFS('Stock In-Out'!D:D,'Stock In-Out'!B:B,"Out",'Stock In-Out'!A:A,Inventory!A101)</f>
        <v>0</v>
      </c>
      <c r="E101" s="8">
        <f t="shared" si="2"/>
        <v>0</v>
      </c>
      <c r="F101" s="8" t="str">
        <f>IFERROR(VLOOKUP(A101,'Product Master'!D:N,10,0)*E101,"")</f>
        <v/>
      </c>
      <c r="G101" s="9" t="str">
        <f>IFERROR(VLOOKUP(A101,'Product Master'!D:N,11,0)*E101,"")</f>
        <v/>
      </c>
      <c r="H101" s="8">
        <f>SUMIFS('Product Master'!G:G,'Product Master'!D:D,Inventory!A101)+SUMIFS('Stock In-Out'!I:I,'Stock In-Out'!A:A,Inventory!A101)-SUMIFS('Stock In-Out'!J:J,'Stock In-Out'!A:A,Inventory!A101)</f>
        <v>0</v>
      </c>
      <c r="I101" s="8">
        <f>SUMIFS('Product Master'!H:H,'Product Master'!D:D,Inventory!A101)+SUMIFS('Stock In-Out'!K:K,'Stock In-Out'!A:A,Inventory!A101)-SUMIFS('Stock In-Out'!L:L,'Stock In-Out'!A:A,Inventory!A101)</f>
        <v>0</v>
      </c>
      <c r="J101" s="8">
        <f>SUMIFS('Product Master'!I:I,'Product Master'!D:D,Inventory!A101)+SUMIFS('Stock In-Out'!M:M,'Stock In-Out'!A:A,Inventory!A101)-SUMIFS('Stock In-Out'!N:N,'Stock In-Out'!A:A,Inventory!A101)</f>
        <v>0</v>
      </c>
      <c r="K101" s="8" t="str">
        <f>IFERROR(VLOOKUP(A101,'Product Master'!D:N,7,0),"")</f>
        <v/>
      </c>
      <c r="L101" s="6" t="str">
        <f>IFERROR(VLOOKUP(A101,'Product Master'!D98:F20097,3,0),"")</f>
        <v/>
      </c>
    </row>
    <row r="102" spans="1:12" x14ac:dyDescent="0.2">
      <c r="A102" s="1"/>
      <c r="B102" s="8">
        <f>SUMIFS('Stock In-Out'!D:D,'Stock In-Out'!B:B,"Opening Stock",'Stock In-Out'!A:A,Inventory!A102)</f>
        <v>0</v>
      </c>
      <c r="C102" s="8">
        <f>SUMIFS('Stock In-Out'!D:D,'Stock In-Out'!B:B,"In",'Stock In-Out'!A:A,Inventory!A102)</f>
        <v>0</v>
      </c>
      <c r="D102" s="8">
        <f>SUMIFS('Stock In-Out'!D:D,'Stock In-Out'!B:B,"Out",'Stock In-Out'!A:A,Inventory!A102)</f>
        <v>0</v>
      </c>
      <c r="E102" s="8">
        <f t="shared" si="2"/>
        <v>0</v>
      </c>
      <c r="F102" s="8" t="str">
        <f>IFERROR(VLOOKUP(A102,'Product Master'!D:N,10,0)*E102,"")</f>
        <v/>
      </c>
      <c r="G102" s="9" t="str">
        <f>IFERROR(VLOOKUP(A102,'Product Master'!D:N,11,0)*E102,"")</f>
        <v/>
      </c>
      <c r="H102" s="8">
        <f>SUMIFS('Product Master'!G:G,'Product Master'!D:D,Inventory!A102)+SUMIFS('Stock In-Out'!I:I,'Stock In-Out'!A:A,Inventory!A102)-SUMIFS('Stock In-Out'!J:J,'Stock In-Out'!A:A,Inventory!A102)</f>
        <v>0</v>
      </c>
      <c r="I102" s="8">
        <f>SUMIFS('Product Master'!H:H,'Product Master'!D:D,Inventory!A102)+SUMIFS('Stock In-Out'!K:K,'Stock In-Out'!A:A,Inventory!A102)-SUMIFS('Stock In-Out'!L:L,'Stock In-Out'!A:A,Inventory!A102)</f>
        <v>0</v>
      </c>
      <c r="J102" s="8">
        <f>SUMIFS('Product Master'!I:I,'Product Master'!D:D,Inventory!A102)+SUMIFS('Stock In-Out'!M:M,'Stock In-Out'!A:A,Inventory!A102)-SUMIFS('Stock In-Out'!N:N,'Stock In-Out'!A:A,Inventory!A102)</f>
        <v>0</v>
      </c>
      <c r="K102" s="8" t="str">
        <f>IFERROR(VLOOKUP(A102,'Product Master'!D:N,7,0),"")</f>
        <v/>
      </c>
      <c r="L102" s="6" t="str">
        <f>IFERROR(VLOOKUP(A102,'Product Master'!D99:F20098,3,0),"")</f>
        <v/>
      </c>
    </row>
    <row r="103" spans="1:12" x14ac:dyDescent="0.2">
      <c r="A103" s="1"/>
      <c r="B103" s="8">
        <f>SUMIFS('Stock In-Out'!D:D,'Stock In-Out'!B:B,"Opening Stock",'Stock In-Out'!A:A,Inventory!A103)</f>
        <v>0</v>
      </c>
      <c r="C103" s="8">
        <f>SUMIFS('Stock In-Out'!D:D,'Stock In-Out'!B:B,"In",'Stock In-Out'!A:A,Inventory!A103)</f>
        <v>0</v>
      </c>
      <c r="D103" s="8">
        <f>SUMIFS('Stock In-Out'!D:D,'Stock In-Out'!B:B,"Out",'Stock In-Out'!A:A,Inventory!A103)</f>
        <v>0</v>
      </c>
      <c r="E103" s="8">
        <f t="shared" si="2"/>
        <v>0</v>
      </c>
      <c r="F103" s="8" t="str">
        <f>IFERROR(VLOOKUP(A103,'Product Master'!D:N,10,0)*E103,"")</f>
        <v/>
      </c>
      <c r="G103" s="9" t="str">
        <f>IFERROR(VLOOKUP(A103,'Product Master'!D:N,11,0)*E103,"")</f>
        <v/>
      </c>
      <c r="H103" s="8">
        <f>SUMIFS('Product Master'!G:G,'Product Master'!D:D,Inventory!A103)+SUMIFS('Stock In-Out'!I:I,'Stock In-Out'!A:A,Inventory!A103)-SUMIFS('Stock In-Out'!J:J,'Stock In-Out'!A:A,Inventory!A103)</f>
        <v>0</v>
      </c>
      <c r="I103" s="8">
        <f>SUMIFS('Product Master'!H:H,'Product Master'!D:D,Inventory!A103)+SUMIFS('Stock In-Out'!K:K,'Stock In-Out'!A:A,Inventory!A103)-SUMIFS('Stock In-Out'!L:L,'Stock In-Out'!A:A,Inventory!A103)</f>
        <v>0</v>
      </c>
      <c r="J103" s="8">
        <f>SUMIFS('Product Master'!I:I,'Product Master'!D:D,Inventory!A103)+SUMIFS('Stock In-Out'!M:M,'Stock In-Out'!A:A,Inventory!A103)-SUMIFS('Stock In-Out'!N:N,'Stock In-Out'!A:A,Inventory!A103)</f>
        <v>0</v>
      </c>
      <c r="K103" s="8" t="str">
        <f>IFERROR(VLOOKUP(A103,'Product Master'!D:N,7,0),"")</f>
        <v/>
      </c>
      <c r="L103" s="6" t="str">
        <f>IFERROR(VLOOKUP(A103,'Product Master'!D100:F20099,3,0),"")</f>
        <v/>
      </c>
    </row>
    <row r="104" spans="1:12" x14ac:dyDescent="0.2">
      <c r="A104" s="1"/>
      <c r="B104" s="8">
        <f>SUMIFS('Stock In-Out'!D:D,'Stock In-Out'!B:B,"Opening Stock",'Stock In-Out'!A:A,Inventory!A104)</f>
        <v>0</v>
      </c>
      <c r="C104" s="8">
        <f>SUMIFS('Stock In-Out'!D:D,'Stock In-Out'!B:B,"In",'Stock In-Out'!A:A,Inventory!A104)</f>
        <v>0</v>
      </c>
      <c r="D104" s="8">
        <f>SUMIFS('Stock In-Out'!D:D,'Stock In-Out'!B:B,"Out",'Stock In-Out'!A:A,Inventory!A104)</f>
        <v>0</v>
      </c>
      <c r="E104" s="8">
        <f t="shared" si="2"/>
        <v>0</v>
      </c>
      <c r="F104" s="8" t="str">
        <f>IFERROR(VLOOKUP(A104,'Product Master'!D:N,10,0)*E104,"")</f>
        <v/>
      </c>
      <c r="G104" s="9" t="str">
        <f>IFERROR(VLOOKUP(A104,'Product Master'!D:N,11,0)*E104,"")</f>
        <v/>
      </c>
      <c r="H104" s="8">
        <f>SUMIFS('Product Master'!G:G,'Product Master'!D:D,Inventory!A104)+SUMIFS('Stock In-Out'!I:I,'Stock In-Out'!A:A,Inventory!A104)-SUMIFS('Stock In-Out'!J:J,'Stock In-Out'!A:A,Inventory!A104)</f>
        <v>0</v>
      </c>
      <c r="I104" s="8">
        <f>SUMIFS('Product Master'!H:H,'Product Master'!D:D,Inventory!A104)+SUMIFS('Stock In-Out'!K:K,'Stock In-Out'!A:A,Inventory!A104)-SUMIFS('Stock In-Out'!L:L,'Stock In-Out'!A:A,Inventory!A104)</f>
        <v>0</v>
      </c>
      <c r="J104" s="8">
        <f>SUMIFS('Product Master'!I:I,'Product Master'!D:D,Inventory!A104)+SUMIFS('Stock In-Out'!M:M,'Stock In-Out'!A:A,Inventory!A104)-SUMIFS('Stock In-Out'!N:N,'Stock In-Out'!A:A,Inventory!A104)</f>
        <v>0</v>
      </c>
      <c r="K104" s="8" t="str">
        <f>IFERROR(VLOOKUP(A104,'Product Master'!D:N,7,0),"")</f>
        <v/>
      </c>
      <c r="L104" s="6" t="str">
        <f>IFERROR(VLOOKUP(A104,'Product Master'!D101:F20100,3,0),"")</f>
        <v/>
      </c>
    </row>
    <row r="105" spans="1:12" x14ac:dyDescent="0.2">
      <c r="A105" s="1"/>
      <c r="B105" s="8">
        <f>SUMIFS('Stock In-Out'!D:D,'Stock In-Out'!B:B,"Opening Stock",'Stock In-Out'!A:A,Inventory!A105)</f>
        <v>0</v>
      </c>
      <c r="C105" s="8">
        <f>SUMIFS('Stock In-Out'!D:D,'Stock In-Out'!B:B,"In",'Stock In-Out'!A:A,Inventory!A105)</f>
        <v>0</v>
      </c>
      <c r="D105" s="8">
        <f>SUMIFS('Stock In-Out'!D:D,'Stock In-Out'!B:B,"Out",'Stock In-Out'!A:A,Inventory!A105)</f>
        <v>0</v>
      </c>
      <c r="E105" s="8">
        <f t="shared" si="2"/>
        <v>0</v>
      </c>
      <c r="F105" s="8" t="str">
        <f>IFERROR(VLOOKUP(A105,'Product Master'!D:N,10,0)*E105,"")</f>
        <v/>
      </c>
      <c r="G105" s="9" t="str">
        <f>IFERROR(VLOOKUP(A105,'Product Master'!D:N,11,0)*E105,"")</f>
        <v/>
      </c>
      <c r="H105" s="8">
        <f>SUMIFS('Product Master'!G:G,'Product Master'!D:D,Inventory!A105)+SUMIFS('Stock In-Out'!I:I,'Stock In-Out'!A:A,Inventory!A105)-SUMIFS('Stock In-Out'!J:J,'Stock In-Out'!A:A,Inventory!A105)</f>
        <v>0</v>
      </c>
      <c r="I105" s="8">
        <f>SUMIFS('Product Master'!H:H,'Product Master'!D:D,Inventory!A105)+SUMIFS('Stock In-Out'!K:K,'Stock In-Out'!A:A,Inventory!A105)-SUMIFS('Stock In-Out'!L:L,'Stock In-Out'!A:A,Inventory!A105)</f>
        <v>0</v>
      </c>
      <c r="J105" s="8">
        <f>SUMIFS('Product Master'!I:I,'Product Master'!D:D,Inventory!A105)+SUMIFS('Stock In-Out'!M:M,'Stock In-Out'!A:A,Inventory!A105)-SUMIFS('Stock In-Out'!N:N,'Stock In-Out'!A:A,Inventory!A105)</f>
        <v>0</v>
      </c>
      <c r="K105" s="8" t="str">
        <f>IFERROR(VLOOKUP(A105,'Product Master'!D:N,7,0),"")</f>
        <v/>
      </c>
      <c r="L105" s="6" t="str">
        <f>IFERROR(VLOOKUP(A105,'Product Master'!D102:F20101,3,0),"")</f>
        <v/>
      </c>
    </row>
    <row r="106" spans="1:12" x14ac:dyDescent="0.2">
      <c r="A106" s="1"/>
      <c r="B106" s="8">
        <f>SUMIFS('Stock In-Out'!D:D,'Stock In-Out'!B:B,"Opening Stock",'Stock In-Out'!A:A,Inventory!A106)</f>
        <v>0</v>
      </c>
      <c r="C106" s="8">
        <f>SUMIFS('Stock In-Out'!D:D,'Stock In-Out'!B:B,"In",'Stock In-Out'!A:A,Inventory!A106)</f>
        <v>0</v>
      </c>
      <c r="D106" s="8">
        <f>SUMIFS('Stock In-Out'!D:D,'Stock In-Out'!B:B,"Out",'Stock In-Out'!A:A,Inventory!A106)</f>
        <v>0</v>
      </c>
      <c r="E106" s="8">
        <f t="shared" si="2"/>
        <v>0</v>
      </c>
      <c r="F106" s="8" t="str">
        <f>IFERROR(VLOOKUP(A106,'Product Master'!D:N,10,0)*E106,"")</f>
        <v/>
      </c>
      <c r="G106" s="9" t="str">
        <f>IFERROR(VLOOKUP(A106,'Product Master'!D:N,11,0)*E106,"")</f>
        <v/>
      </c>
      <c r="H106" s="8">
        <f>SUMIFS('Product Master'!G:G,'Product Master'!D:D,Inventory!A106)+SUMIFS('Stock In-Out'!I:I,'Stock In-Out'!A:A,Inventory!A106)-SUMIFS('Stock In-Out'!J:J,'Stock In-Out'!A:A,Inventory!A106)</f>
        <v>0</v>
      </c>
      <c r="I106" s="8">
        <f>SUMIFS('Product Master'!H:H,'Product Master'!D:D,Inventory!A106)+SUMIFS('Stock In-Out'!K:K,'Stock In-Out'!A:A,Inventory!A106)-SUMIFS('Stock In-Out'!L:L,'Stock In-Out'!A:A,Inventory!A106)</f>
        <v>0</v>
      </c>
      <c r="J106" s="8">
        <f>SUMIFS('Product Master'!I:I,'Product Master'!D:D,Inventory!A106)+SUMIFS('Stock In-Out'!M:M,'Stock In-Out'!A:A,Inventory!A106)-SUMIFS('Stock In-Out'!N:N,'Stock In-Out'!A:A,Inventory!A106)</f>
        <v>0</v>
      </c>
      <c r="K106" s="8" t="str">
        <f>IFERROR(VLOOKUP(A106,'Product Master'!D:N,7,0),"")</f>
        <v/>
      </c>
      <c r="L106" s="6" t="str">
        <f>IFERROR(VLOOKUP(A106,'Product Master'!D103:F20102,3,0),"")</f>
        <v/>
      </c>
    </row>
    <row r="107" spans="1:12" x14ac:dyDescent="0.2">
      <c r="A107" s="1"/>
      <c r="B107" s="8">
        <f>SUMIFS('Stock In-Out'!D:D,'Stock In-Out'!B:B,"Opening Stock",'Stock In-Out'!A:A,Inventory!A107)</f>
        <v>0</v>
      </c>
      <c r="C107" s="8">
        <f>SUMIFS('Stock In-Out'!D:D,'Stock In-Out'!B:B,"In",'Stock In-Out'!A:A,Inventory!A107)</f>
        <v>0</v>
      </c>
      <c r="D107" s="8">
        <f>SUMIFS('Stock In-Out'!D:D,'Stock In-Out'!B:B,"Out",'Stock In-Out'!A:A,Inventory!A107)</f>
        <v>0</v>
      </c>
      <c r="E107" s="8">
        <f t="shared" si="2"/>
        <v>0</v>
      </c>
      <c r="F107" s="8" t="str">
        <f>IFERROR(VLOOKUP(A107,'Product Master'!D:N,10,0)*E107,"")</f>
        <v/>
      </c>
      <c r="G107" s="9" t="str">
        <f>IFERROR(VLOOKUP(A107,'Product Master'!D:N,11,0)*E107,"")</f>
        <v/>
      </c>
      <c r="H107" s="8">
        <f>SUMIFS('Product Master'!G:G,'Product Master'!D:D,Inventory!A107)+SUMIFS('Stock In-Out'!I:I,'Stock In-Out'!A:A,Inventory!A107)-SUMIFS('Stock In-Out'!J:J,'Stock In-Out'!A:A,Inventory!A107)</f>
        <v>0</v>
      </c>
      <c r="I107" s="8">
        <f>SUMIFS('Product Master'!H:H,'Product Master'!D:D,Inventory!A107)+SUMIFS('Stock In-Out'!K:K,'Stock In-Out'!A:A,Inventory!A107)-SUMIFS('Stock In-Out'!L:L,'Stock In-Out'!A:A,Inventory!A107)</f>
        <v>0</v>
      </c>
      <c r="J107" s="8">
        <f>SUMIFS('Product Master'!I:I,'Product Master'!D:D,Inventory!A107)+SUMIFS('Stock In-Out'!M:M,'Stock In-Out'!A:A,Inventory!A107)-SUMIFS('Stock In-Out'!N:N,'Stock In-Out'!A:A,Inventory!A107)</f>
        <v>0</v>
      </c>
      <c r="K107" s="8" t="str">
        <f>IFERROR(VLOOKUP(A107,'Product Master'!D:N,7,0),"")</f>
        <v/>
      </c>
      <c r="L107" s="6" t="str">
        <f>IFERROR(VLOOKUP(A107,'Product Master'!D104:F20103,3,0),"")</f>
        <v/>
      </c>
    </row>
    <row r="108" spans="1:12" x14ac:dyDescent="0.2">
      <c r="A108" s="1"/>
      <c r="B108" s="8">
        <f>SUMIFS('Stock In-Out'!D:D,'Stock In-Out'!B:B,"Opening Stock",'Stock In-Out'!A:A,Inventory!A108)</f>
        <v>0</v>
      </c>
      <c r="C108" s="8">
        <f>SUMIFS('Stock In-Out'!D:D,'Stock In-Out'!B:B,"In",'Stock In-Out'!A:A,Inventory!A108)</f>
        <v>0</v>
      </c>
      <c r="D108" s="8">
        <f>SUMIFS('Stock In-Out'!D:D,'Stock In-Out'!B:B,"Out",'Stock In-Out'!A:A,Inventory!A108)</f>
        <v>0</v>
      </c>
      <c r="E108" s="8">
        <f t="shared" si="2"/>
        <v>0</v>
      </c>
      <c r="F108" s="8" t="str">
        <f>IFERROR(VLOOKUP(A108,'Product Master'!D:N,10,0)*E108,"")</f>
        <v/>
      </c>
      <c r="G108" s="9" t="str">
        <f>IFERROR(VLOOKUP(A108,'Product Master'!D:N,11,0)*E108,"")</f>
        <v/>
      </c>
      <c r="H108" s="8">
        <f>SUMIFS('Product Master'!G:G,'Product Master'!D:D,Inventory!A108)+SUMIFS('Stock In-Out'!I:I,'Stock In-Out'!A:A,Inventory!A108)-SUMIFS('Stock In-Out'!J:J,'Stock In-Out'!A:A,Inventory!A108)</f>
        <v>0</v>
      </c>
      <c r="I108" s="8">
        <f>SUMIFS('Product Master'!H:H,'Product Master'!D:D,Inventory!A108)+SUMIFS('Stock In-Out'!K:K,'Stock In-Out'!A:A,Inventory!A108)-SUMIFS('Stock In-Out'!L:L,'Stock In-Out'!A:A,Inventory!A108)</f>
        <v>0</v>
      </c>
      <c r="J108" s="8">
        <f>SUMIFS('Product Master'!I:I,'Product Master'!D:D,Inventory!A108)+SUMIFS('Stock In-Out'!M:M,'Stock In-Out'!A:A,Inventory!A108)-SUMIFS('Stock In-Out'!N:N,'Stock In-Out'!A:A,Inventory!A108)</f>
        <v>0</v>
      </c>
      <c r="K108" s="8" t="str">
        <f>IFERROR(VLOOKUP(A108,'Product Master'!D:N,7,0),"")</f>
        <v/>
      </c>
      <c r="L108" s="6" t="str">
        <f>IFERROR(VLOOKUP(A108,'Product Master'!D105:F20104,3,0),"")</f>
        <v/>
      </c>
    </row>
    <row r="109" spans="1:12" x14ac:dyDescent="0.2">
      <c r="A109" s="1"/>
      <c r="B109" s="8">
        <f>SUMIFS('Stock In-Out'!D:D,'Stock In-Out'!B:B,"Opening Stock",'Stock In-Out'!A:A,Inventory!A109)</f>
        <v>0</v>
      </c>
      <c r="C109" s="8">
        <f>SUMIFS('Stock In-Out'!D:D,'Stock In-Out'!B:B,"In",'Stock In-Out'!A:A,Inventory!A109)</f>
        <v>0</v>
      </c>
      <c r="D109" s="8">
        <f>SUMIFS('Stock In-Out'!D:D,'Stock In-Out'!B:B,"Out",'Stock In-Out'!A:A,Inventory!A109)</f>
        <v>0</v>
      </c>
      <c r="E109" s="8">
        <f t="shared" si="2"/>
        <v>0</v>
      </c>
      <c r="F109" s="8" t="str">
        <f>IFERROR(VLOOKUP(A109,'Product Master'!D:N,10,0)*E109,"")</f>
        <v/>
      </c>
      <c r="G109" s="9" t="str">
        <f>IFERROR(VLOOKUP(A109,'Product Master'!D:N,11,0)*E109,"")</f>
        <v/>
      </c>
      <c r="H109" s="8">
        <f>SUMIFS('Product Master'!G:G,'Product Master'!D:D,Inventory!A109)+SUMIFS('Stock In-Out'!I:I,'Stock In-Out'!A:A,Inventory!A109)-SUMIFS('Stock In-Out'!J:J,'Stock In-Out'!A:A,Inventory!A109)</f>
        <v>0</v>
      </c>
      <c r="I109" s="8">
        <f>SUMIFS('Product Master'!H:H,'Product Master'!D:D,Inventory!A109)+SUMIFS('Stock In-Out'!K:K,'Stock In-Out'!A:A,Inventory!A109)-SUMIFS('Stock In-Out'!L:L,'Stock In-Out'!A:A,Inventory!A109)</f>
        <v>0</v>
      </c>
      <c r="J109" s="8">
        <f>SUMIFS('Product Master'!I:I,'Product Master'!D:D,Inventory!A109)+SUMIFS('Stock In-Out'!M:M,'Stock In-Out'!A:A,Inventory!A109)-SUMIFS('Stock In-Out'!N:N,'Stock In-Out'!A:A,Inventory!A109)</f>
        <v>0</v>
      </c>
      <c r="K109" s="8" t="str">
        <f>IFERROR(VLOOKUP(A109,'Product Master'!D:N,7,0),"")</f>
        <v/>
      </c>
      <c r="L109" s="6" t="str">
        <f>IFERROR(VLOOKUP(A109,'Product Master'!D106:F20105,3,0),"")</f>
        <v/>
      </c>
    </row>
    <row r="110" spans="1:12" x14ac:dyDescent="0.2">
      <c r="A110" s="1"/>
      <c r="B110" s="8">
        <f>SUMIFS('Stock In-Out'!D:D,'Stock In-Out'!B:B,"Opening Stock",'Stock In-Out'!A:A,Inventory!A110)</f>
        <v>0</v>
      </c>
      <c r="C110" s="8">
        <f>SUMIFS('Stock In-Out'!D:D,'Stock In-Out'!B:B,"In",'Stock In-Out'!A:A,Inventory!A110)</f>
        <v>0</v>
      </c>
      <c r="D110" s="8">
        <f>SUMIFS('Stock In-Out'!D:D,'Stock In-Out'!B:B,"Out",'Stock In-Out'!A:A,Inventory!A110)</f>
        <v>0</v>
      </c>
      <c r="E110" s="8">
        <f t="shared" si="2"/>
        <v>0</v>
      </c>
      <c r="F110" s="8" t="str">
        <f>IFERROR(VLOOKUP(A110,'Product Master'!D:N,10,0)*E110,"")</f>
        <v/>
      </c>
      <c r="G110" s="9" t="str">
        <f>IFERROR(VLOOKUP(A110,'Product Master'!D:N,11,0)*E110,"")</f>
        <v/>
      </c>
      <c r="H110" s="8">
        <f>SUMIFS('Product Master'!G:G,'Product Master'!D:D,Inventory!A110)+SUMIFS('Stock In-Out'!I:I,'Stock In-Out'!A:A,Inventory!A110)-SUMIFS('Stock In-Out'!J:J,'Stock In-Out'!A:A,Inventory!A110)</f>
        <v>0</v>
      </c>
      <c r="I110" s="8">
        <f>SUMIFS('Product Master'!H:H,'Product Master'!D:D,Inventory!A110)+SUMIFS('Stock In-Out'!K:K,'Stock In-Out'!A:A,Inventory!A110)-SUMIFS('Stock In-Out'!L:L,'Stock In-Out'!A:A,Inventory!A110)</f>
        <v>0</v>
      </c>
      <c r="J110" s="8">
        <f>SUMIFS('Product Master'!I:I,'Product Master'!D:D,Inventory!A110)+SUMIFS('Stock In-Out'!M:M,'Stock In-Out'!A:A,Inventory!A110)-SUMIFS('Stock In-Out'!N:N,'Stock In-Out'!A:A,Inventory!A110)</f>
        <v>0</v>
      </c>
      <c r="K110" s="8" t="str">
        <f>IFERROR(VLOOKUP(A110,'Product Master'!D:N,7,0),"")</f>
        <v/>
      </c>
      <c r="L110" s="6" t="str">
        <f>IFERROR(VLOOKUP(A110,'Product Master'!D107:F20106,3,0),"")</f>
        <v/>
      </c>
    </row>
    <row r="111" spans="1:12" x14ac:dyDescent="0.2">
      <c r="A111" s="1"/>
      <c r="B111" s="8">
        <f>SUMIFS('Stock In-Out'!D:D,'Stock In-Out'!B:B,"Opening Stock",'Stock In-Out'!A:A,Inventory!A111)</f>
        <v>0</v>
      </c>
      <c r="C111" s="8">
        <f>SUMIFS('Stock In-Out'!D:D,'Stock In-Out'!B:B,"In",'Stock In-Out'!A:A,Inventory!A111)</f>
        <v>0</v>
      </c>
      <c r="D111" s="8">
        <f>SUMIFS('Stock In-Out'!D:D,'Stock In-Out'!B:B,"Out",'Stock In-Out'!A:A,Inventory!A111)</f>
        <v>0</v>
      </c>
      <c r="E111" s="8">
        <f t="shared" si="2"/>
        <v>0</v>
      </c>
      <c r="F111" s="8" t="str">
        <f>IFERROR(VLOOKUP(A111,'Product Master'!D:N,10,0)*E111,"")</f>
        <v/>
      </c>
      <c r="G111" s="9" t="str">
        <f>IFERROR(VLOOKUP(A111,'Product Master'!D:N,11,0)*E111,"")</f>
        <v/>
      </c>
      <c r="H111" s="8">
        <f>SUMIFS('Product Master'!G:G,'Product Master'!D:D,Inventory!A111)+SUMIFS('Stock In-Out'!I:I,'Stock In-Out'!A:A,Inventory!A111)-SUMIFS('Stock In-Out'!J:J,'Stock In-Out'!A:A,Inventory!A111)</f>
        <v>0</v>
      </c>
      <c r="I111" s="8">
        <f>SUMIFS('Product Master'!H:H,'Product Master'!D:D,Inventory!A111)+SUMIFS('Stock In-Out'!K:K,'Stock In-Out'!A:A,Inventory!A111)-SUMIFS('Stock In-Out'!L:L,'Stock In-Out'!A:A,Inventory!A111)</f>
        <v>0</v>
      </c>
      <c r="J111" s="8">
        <f>SUMIFS('Product Master'!I:I,'Product Master'!D:D,Inventory!A111)+SUMIFS('Stock In-Out'!M:M,'Stock In-Out'!A:A,Inventory!A111)-SUMIFS('Stock In-Out'!N:N,'Stock In-Out'!A:A,Inventory!A111)</f>
        <v>0</v>
      </c>
      <c r="K111" s="8" t="str">
        <f>IFERROR(VLOOKUP(A111,'Product Master'!D:N,7,0),"")</f>
        <v/>
      </c>
      <c r="L111" s="6" t="str">
        <f>IFERROR(VLOOKUP(A111,'Product Master'!D108:F20107,3,0),"")</f>
        <v/>
      </c>
    </row>
    <row r="112" spans="1:12" x14ac:dyDescent="0.2">
      <c r="A112" s="1"/>
      <c r="B112" s="8">
        <f>SUMIFS('Stock In-Out'!D:D,'Stock In-Out'!B:B,"Opening Stock",'Stock In-Out'!A:A,Inventory!A112)</f>
        <v>0</v>
      </c>
      <c r="C112" s="8">
        <f>SUMIFS('Stock In-Out'!D:D,'Stock In-Out'!B:B,"In",'Stock In-Out'!A:A,Inventory!A112)</f>
        <v>0</v>
      </c>
      <c r="D112" s="8">
        <f>SUMIFS('Stock In-Out'!D:D,'Stock In-Out'!B:B,"Out",'Stock In-Out'!A:A,Inventory!A112)</f>
        <v>0</v>
      </c>
      <c r="E112" s="8">
        <f t="shared" si="2"/>
        <v>0</v>
      </c>
      <c r="F112" s="8" t="str">
        <f>IFERROR(VLOOKUP(A112,'Product Master'!D:N,10,0)*E112,"")</f>
        <v/>
      </c>
      <c r="G112" s="9" t="str">
        <f>IFERROR(VLOOKUP(A112,'Product Master'!D:N,11,0)*E112,"")</f>
        <v/>
      </c>
      <c r="H112" s="8">
        <f>SUMIFS('Product Master'!G:G,'Product Master'!D:D,Inventory!A112)+SUMIFS('Stock In-Out'!I:I,'Stock In-Out'!A:A,Inventory!A112)-SUMIFS('Stock In-Out'!J:J,'Stock In-Out'!A:A,Inventory!A112)</f>
        <v>0</v>
      </c>
      <c r="I112" s="8">
        <f>SUMIFS('Product Master'!H:H,'Product Master'!D:D,Inventory!A112)+SUMIFS('Stock In-Out'!K:K,'Stock In-Out'!A:A,Inventory!A112)-SUMIFS('Stock In-Out'!L:L,'Stock In-Out'!A:A,Inventory!A112)</f>
        <v>0</v>
      </c>
      <c r="J112" s="8">
        <f>SUMIFS('Product Master'!I:I,'Product Master'!D:D,Inventory!A112)+SUMIFS('Stock In-Out'!M:M,'Stock In-Out'!A:A,Inventory!A112)-SUMIFS('Stock In-Out'!N:N,'Stock In-Out'!A:A,Inventory!A112)</f>
        <v>0</v>
      </c>
      <c r="K112" s="8" t="str">
        <f>IFERROR(VLOOKUP(A112,'Product Master'!D:N,7,0),"")</f>
        <v/>
      </c>
      <c r="L112" s="6" t="str">
        <f>IFERROR(VLOOKUP(A112,'Product Master'!D109:F20108,3,0),"")</f>
        <v/>
      </c>
    </row>
    <row r="113" spans="1:12" x14ac:dyDescent="0.2">
      <c r="A113" s="1"/>
      <c r="B113" s="8">
        <f>SUMIFS('Stock In-Out'!D:D,'Stock In-Out'!B:B,"Opening Stock",'Stock In-Out'!A:A,Inventory!A113)</f>
        <v>0</v>
      </c>
      <c r="C113" s="8">
        <f>SUMIFS('Stock In-Out'!D:D,'Stock In-Out'!B:B,"In",'Stock In-Out'!A:A,Inventory!A113)</f>
        <v>0</v>
      </c>
      <c r="D113" s="8">
        <f>SUMIFS('Stock In-Out'!D:D,'Stock In-Out'!B:B,"Out",'Stock In-Out'!A:A,Inventory!A113)</f>
        <v>0</v>
      </c>
      <c r="E113" s="8">
        <f t="shared" si="2"/>
        <v>0</v>
      </c>
      <c r="F113" s="8" t="str">
        <f>IFERROR(VLOOKUP(A113,'Product Master'!D:N,10,0)*E113,"")</f>
        <v/>
      </c>
      <c r="G113" s="9" t="str">
        <f>IFERROR(VLOOKUP(A113,'Product Master'!D:N,11,0)*E113,"")</f>
        <v/>
      </c>
      <c r="H113" s="8">
        <f>SUMIFS('Product Master'!G:G,'Product Master'!D:D,Inventory!A113)+SUMIFS('Stock In-Out'!I:I,'Stock In-Out'!A:A,Inventory!A113)-SUMIFS('Stock In-Out'!J:J,'Stock In-Out'!A:A,Inventory!A113)</f>
        <v>0</v>
      </c>
      <c r="I113" s="8">
        <f>SUMIFS('Product Master'!H:H,'Product Master'!D:D,Inventory!A113)+SUMIFS('Stock In-Out'!K:K,'Stock In-Out'!A:A,Inventory!A113)-SUMIFS('Stock In-Out'!L:L,'Stock In-Out'!A:A,Inventory!A113)</f>
        <v>0</v>
      </c>
      <c r="J113" s="8">
        <f>SUMIFS('Product Master'!I:I,'Product Master'!D:D,Inventory!A113)+SUMIFS('Stock In-Out'!M:M,'Stock In-Out'!A:A,Inventory!A113)-SUMIFS('Stock In-Out'!N:N,'Stock In-Out'!A:A,Inventory!A113)</f>
        <v>0</v>
      </c>
      <c r="K113" s="8" t="str">
        <f>IFERROR(VLOOKUP(A113,'Product Master'!D:N,7,0),"")</f>
        <v/>
      </c>
      <c r="L113" s="6" t="str">
        <f>IFERROR(VLOOKUP(A113,'Product Master'!D110:F20109,3,0),"")</f>
        <v/>
      </c>
    </row>
    <row r="114" spans="1:12" x14ac:dyDescent="0.2">
      <c r="A114" s="1"/>
      <c r="B114" s="8">
        <f>SUMIFS('Stock In-Out'!D:D,'Stock In-Out'!B:B,"Opening Stock",'Stock In-Out'!A:A,Inventory!A114)</f>
        <v>0</v>
      </c>
      <c r="C114" s="8">
        <f>SUMIFS('Stock In-Out'!D:D,'Stock In-Out'!B:B,"In",'Stock In-Out'!A:A,Inventory!A114)</f>
        <v>0</v>
      </c>
      <c r="D114" s="8">
        <f>SUMIFS('Stock In-Out'!D:D,'Stock In-Out'!B:B,"Out",'Stock In-Out'!A:A,Inventory!A114)</f>
        <v>0</v>
      </c>
      <c r="E114" s="8">
        <f t="shared" si="2"/>
        <v>0</v>
      </c>
      <c r="F114" s="8" t="str">
        <f>IFERROR(VLOOKUP(A114,'Product Master'!D:N,10,0)*E114,"")</f>
        <v/>
      </c>
      <c r="G114" s="9" t="str">
        <f>IFERROR(VLOOKUP(A114,'Product Master'!D:N,11,0)*E114,"")</f>
        <v/>
      </c>
      <c r="H114" s="8">
        <f>SUMIFS('Product Master'!G:G,'Product Master'!D:D,Inventory!A114)+SUMIFS('Stock In-Out'!I:I,'Stock In-Out'!A:A,Inventory!A114)-SUMIFS('Stock In-Out'!J:J,'Stock In-Out'!A:A,Inventory!A114)</f>
        <v>0</v>
      </c>
      <c r="I114" s="8">
        <f>SUMIFS('Product Master'!H:H,'Product Master'!D:D,Inventory!A114)+SUMIFS('Stock In-Out'!K:K,'Stock In-Out'!A:A,Inventory!A114)-SUMIFS('Stock In-Out'!L:L,'Stock In-Out'!A:A,Inventory!A114)</f>
        <v>0</v>
      </c>
      <c r="J114" s="8">
        <f>SUMIFS('Product Master'!I:I,'Product Master'!D:D,Inventory!A114)+SUMIFS('Stock In-Out'!M:M,'Stock In-Out'!A:A,Inventory!A114)-SUMIFS('Stock In-Out'!N:N,'Stock In-Out'!A:A,Inventory!A114)</f>
        <v>0</v>
      </c>
      <c r="K114" s="8" t="str">
        <f>IFERROR(VLOOKUP(A114,'Product Master'!D:N,7,0),"")</f>
        <v/>
      </c>
      <c r="L114" s="6" t="str">
        <f>IFERROR(VLOOKUP(A114,'Product Master'!D111:F20110,3,0),"")</f>
        <v/>
      </c>
    </row>
    <row r="115" spans="1:12" x14ac:dyDescent="0.2">
      <c r="A115" s="1"/>
      <c r="B115" s="8">
        <f>SUMIFS('Stock In-Out'!D:D,'Stock In-Out'!B:B,"Opening Stock",'Stock In-Out'!A:A,Inventory!A115)</f>
        <v>0</v>
      </c>
      <c r="C115" s="8">
        <f>SUMIFS('Stock In-Out'!D:D,'Stock In-Out'!B:B,"In",'Stock In-Out'!A:A,Inventory!A115)</f>
        <v>0</v>
      </c>
      <c r="D115" s="8">
        <f>SUMIFS('Stock In-Out'!D:D,'Stock In-Out'!B:B,"Out",'Stock In-Out'!A:A,Inventory!A115)</f>
        <v>0</v>
      </c>
      <c r="E115" s="8">
        <f t="shared" si="2"/>
        <v>0</v>
      </c>
      <c r="F115" s="8" t="str">
        <f>IFERROR(VLOOKUP(A115,'Product Master'!D:N,10,0)*E115,"")</f>
        <v/>
      </c>
      <c r="G115" s="9" t="str">
        <f>IFERROR(VLOOKUP(A115,'Product Master'!D:N,11,0)*E115,"")</f>
        <v/>
      </c>
      <c r="H115" s="8">
        <f>SUMIFS('Product Master'!G:G,'Product Master'!D:D,Inventory!A115)+SUMIFS('Stock In-Out'!I:I,'Stock In-Out'!A:A,Inventory!A115)-SUMIFS('Stock In-Out'!J:J,'Stock In-Out'!A:A,Inventory!A115)</f>
        <v>0</v>
      </c>
      <c r="I115" s="8">
        <f>SUMIFS('Product Master'!H:H,'Product Master'!D:D,Inventory!A115)+SUMIFS('Stock In-Out'!K:K,'Stock In-Out'!A:A,Inventory!A115)-SUMIFS('Stock In-Out'!L:L,'Stock In-Out'!A:A,Inventory!A115)</f>
        <v>0</v>
      </c>
      <c r="J115" s="8">
        <f>SUMIFS('Product Master'!I:I,'Product Master'!D:D,Inventory!A115)+SUMIFS('Stock In-Out'!M:M,'Stock In-Out'!A:A,Inventory!A115)-SUMIFS('Stock In-Out'!N:N,'Stock In-Out'!A:A,Inventory!A115)</f>
        <v>0</v>
      </c>
      <c r="K115" s="8" t="str">
        <f>IFERROR(VLOOKUP(A115,'Product Master'!D:N,7,0),"")</f>
        <v/>
      </c>
      <c r="L115" s="6" t="str">
        <f>IFERROR(VLOOKUP(A115,'Product Master'!D112:F20111,3,0),"")</f>
        <v/>
      </c>
    </row>
    <row r="116" spans="1:12" x14ac:dyDescent="0.2">
      <c r="A116" s="1"/>
      <c r="B116" s="8">
        <f>SUMIFS('Stock In-Out'!D:D,'Stock In-Out'!B:B,"Opening Stock",'Stock In-Out'!A:A,Inventory!A116)</f>
        <v>0</v>
      </c>
      <c r="C116" s="8">
        <f>SUMIFS('Stock In-Out'!D:D,'Stock In-Out'!B:B,"In",'Stock In-Out'!A:A,Inventory!A116)</f>
        <v>0</v>
      </c>
      <c r="D116" s="8">
        <f>SUMIFS('Stock In-Out'!D:D,'Stock In-Out'!B:B,"Out",'Stock In-Out'!A:A,Inventory!A116)</f>
        <v>0</v>
      </c>
      <c r="E116" s="8">
        <f t="shared" si="2"/>
        <v>0</v>
      </c>
      <c r="F116" s="8" t="str">
        <f>IFERROR(VLOOKUP(A116,'Product Master'!D:N,10,0)*E116,"")</f>
        <v/>
      </c>
      <c r="G116" s="9" t="str">
        <f>IFERROR(VLOOKUP(A116,'Product Master'!D:N,11,0)*E116,"")</f>
        <v/>
      </c>
      <c r="H116" s="8">
        <f>SUMIFS('Product Master'!G:G,'Product Master'!D:D,Inventory!A116)+SUMIFS('Stock In-Out'!I:I,'Stock In-Out'!A:A,Inventory!A116)-SUMIFS('Stock In-Out'!J:J,'Stock In-Out'!A:A,Inventory!A116)</f>
        <v>0</v>
      </c>
      <c r="I116" s="8">
        <f>SUMIFS('Product Master'!H:H,'Product Master'!D:D,Inventory!A116)+SUMIFS('Stock In-Out'!K:K,'Stock In-Out'!A:A,Inventory!A116)-SUMIFS('Stock In-Out'!L:L,'Stock In-Out'!A:A,Inventory!A116)</f>
        <v>0</v>
      </c>
      <c r="J116" s="8">
        <f>SUMIFS('Product Master'!I:I,'Product Master'!D:D,Inventory!A116)+SUMIFS('Stock In-Out'!M:M,'Stock In-Out'!A:A,Inventory!A116)-SUMIFS('Stock In-Out'!N:N,'Stock In-Out'!A:A,Inventory!A116)</f>
        <v>0</v>
      </c>
      <c r="K116" s="8" t="str">
        <f>IFERROR(VLOOKUP(A116,'Product Master'!D:N,7,0),"")</f>
        <v/>
      </c>
      <c r="L116" s="6" t="str">
        <f>IFERROR(VLOOKUP(A116,'Product Master'!D113:F20112,3,0),"")</f>
        <v/>
      </c>
    </row>
    <row r="117" spans="1:12" x14ac:dyDescent="0.2">
      <c r="A117" s="1"/>
      <c r="B117" s="8">
        <f>SUMIFS('Stock In-Out'!D:D,'Stock In-Out'!B:B,"Opening Stock",'Stock In-Out'!A:A,Inventory!A117)</f>
        <v>0</v>
      </c>
      <c r="C117" s="8">
        <f>SUMIFS('Stock In-Out'!D:D,'Stock In-Out'!B:B,"In",'Stock In-Out'!A:A,Inventory!A117)</f>
        <v>0</v>
      </c>
      <c r="D117" s="8">
        <f>SUMIFS('Stock In-Out'!D:D,'Stock In-Out'!B:B,"Out",'Stock In-Out'!A:A,Inventory!A117)</f>
        <v>0</v>
      </c>
      <c r="E117" s="8">
        <f t="shared" si="2"/>
        <v>0</v>
      </c>
      <c r="F117" s="8" t="str">
        <f>IFERROR(VLOOKUP(A117,'Product Master'!D:N,10,0)*E117,"")</f>
        <v/>
      </c>
      <c r="G117" s="9" t="str">
        <f>IFERROR(VLOOKUP(A117,'Product Master'!D:N,11,0)*E117,"")</f>
        <v/>
      </c>
      <c r="H117" s="8">
        <f>SUMIFS('Product Master'!G:G,'Product Master'!D:D,Inventory!A117)+SUMIFS('Stock In-Out'!I:I,'Stock In-Out'!A:A,Inventory!A117)-SUMIFS('Stock In-Out'!J:J,'Stock In-Out'!A:A,Inventory!A117)</f>
        <v>0</v>
      </c>
      <c r="I117" s="8">
        <f>SUMIFS('Product Master'!H:H,'Product Master'!D:D,Inventory!A117)+SUMIFS('Stock In-Out'!K:K,'Stock In-Out'!A:A,Inventory!A117)-SUMIFS('Stock In-Out'!L:L,'Stock In-Out'!A:A,Inventory!A117)</f>
        <v>0</v>
      </c>
      <c r="J117" s="8">
        <f>SUMIFS('Product Master'!I:I,'Product Master'!D:D,Inventory!A117)+SUMIFS('Stock In-Out'!M:M,'Stock In-Out'!A:A,Inventory!A117)-SUMIFS('Stock In-Out'!N:N,'Stock In-Out'!A:A,Inventory!A117)</f>
        <v>0</v>
      </c>
      <c r="K117" s="8" t="str">
        <f>IFERROR(VLOOKUP(A117,'Product Master'!D:N,7,0),"")</f>
        <v/>
      </c>
      <c r="L117" s="6" t="str">
        <f>IFERROR(VLOOKUP(A117,'Product Master'!D114:F20113,3,0),"")</f>
        <v/>
      </c>
    </row>
    <row r="118" spans="1:12" x14ac:dyDescent="0.2">
      <c r="A118" s="1"/>
      <c r="B118" s="8">
        <f>SUMIFS('Stock In-Out'!D:D,'Stock In-Out'!B:B,"Opening Stock",'Stock In-Out'!A:A,Inventory!A118)</f>
        <v>0</v>
      </c>
      <c r="C118" s="8">
        <f>SUMIFS('Stock In-Out'!D:D,'Stock In-Out'!B:B,"In",'Stock In-Out'!A:A,Inventory!A118)</f>
        <v>0</v>
      </c>
      <c r="D118" s="8">
        <f>SUMIFS('Stock In-Out'!D:D,'Stock In-Out'!B:B,"Out",'Stock In-Out'!A:A,Inventory!A118)</f>
        <v>0</v>
      </c>
      <c r="E118" s="8">
        <f t="shared" si="2"/>
        <v>0</v>
      </c>
      <c r="F118" s="8" t="str">
        <f>IFERROR(VLOOKUP(A118,'Product Master'!D:N,10,0)*E118,"")</f>
        <v/>
      </c>
      <c r="G118" s="9" t="str">
        <f>IFERROR(VLOOKUP(A118,'Product Master'!D:N,11,0)*E118,"")</f>
        <v/>
      </c>
      <c r="H118" s="8">
        <f>SUMIFS('Product Master'!G:G,'Product Master'!D:D,Inventory!A118)+SUMIFS('Stock In-Out'!I:I,'Stock In-Out'!A:A,Inventory!A118)-SUMIFS('Stock In-Out'!J:J,'Stock In-Out'!A:A,Inventory!A118)</f>
        <v>0</v>
      </c>
      <c r="I118" s="8">
        <f>SUMIFS('Product Master'!H:H,'Product Master'!D:D,Inventory!A118)+SUMIFS('Stock In-Out'!K:K,'Stock In-Out'!A:A,Inventory!A118)-SUMIFS('Stock In-Out'!L:L,'Stock In-Out'!A:A,Inventory!A118)</f>
        <v>0</v>
      </c>
      <c r="J118" s="8">
        <f>SUMIFS('Product Master'!I:I,'Product Master'!D:D,Inventory!A118)+SUMIFS('Stock In-Out'!M:M,'Stock In-Out'!A:A,Inventory!A118)-SUMIFS('Stock In-Out'!N:N,'Stock In-Out'!A:A,Inventory!A118)</f>
        <v>0</v>
      </c>
      <c r="K118" s="8" t="str">
        <f>IFERROR(VLOOKUP(A118,'Product Master'!D:N,7,0),"")</f>
        <v/>
      </c>
      <c r="L118" s="6" t="str">
        <f>IFERROR(VLOOKUP(A118,'Product Master'!D115:F20114,3,0),"")</f>
        <v/>
      </c>
    </row>
    <row r="119" spans="1:12" x14ac:dyDescent="0.2">
      <c r="A119" s="1"/>
      <c r="B119" s="8">
        <f>SUMIFS('Stock In-Out'!D:D,'Stock In-Out'!B:B,"Opening Stock",'Stock In-Out'!A:A,Inventory!A119)</f>
        <v>0</v>
      </c>
      <c r="C119" s="8">
        <f>SUMIFS('Stock In-Out'!D:D,'Stock In-Out'!B:B,"In",'Stock In-Out'!A:A,Inventory!A119)</f>
        <v>0</v>
      </c>
      <c r="D119" s="8">
        <f>SUMIFS('Stock In-Out'!D:D,'Stock In-Out'!B:B,"Out",'Stock In-Out'!A:A,Inventory!A119)</f>
        <v>0</v>
      </c>
      <c r="E119" s="8">
        <f t="shared" si="2"/>
        <v>0</v>
      </c>
      <c r="F119" s="8" t="str">
        <f>IFERROR(VLOOKUP(A119,'Product Master'!D:N,10,0)*E119,"")</f>
        <v/>
      </c>
      <c r="G119" s="9" t="str">
        <f>IFERROR(VLOOKUP(A119,'Product Master'!D:N,11,0)*E119,"")</f>
        <v/>
      </c>
      <c r="H119" s="8">
        <f>SUMIFS('Product Master'!G:G,'Product Master'!D:D,Inventory!A119)+SUMIFS('Stock In-Out'!I:I,'Stock In-Out'!A:A,Inventory!A119)-SUMIFS('Stock In-Out'!J:J,'Stock In-Out'!A:A,Inventory!A119)</f>
        <v>0</v>
      </c>
      <c r="I119" s="8">
        <f>SUMIFS('Product Master'!H:H,'Product Master'!D:D,Inventory!A119)+SUMIFS('Stock In-Out'!K:K,'Stock In-Out'!A:A,Inventory!A119)-SUMIFS('Stock In-Out'!L:L,'Stock In-Out'!A:A,Inventory!A119)</f>
        <v>0</v>
      </c>
      <c r="J119" s="8">
        <f>SUMIFS('Product Master'!I:I,'Product Master'!D:D,Inventory!A119)+SUMIFS('Stock In-Out'!M:M,'Stock In-Out'!A:A,Inventory!A119)-SUMIFS('Stock In-Out'!N:N,'Stock In-Out'!A:A,Inventory!A119)</f>
        <v>0</v>
      </c>
      <c r="K119" s="8" t="str">
        <f>IFERROR(VLOOKUP(A119,'Product Master'!D:N,7,0),"")</f>
        <v/>
      </c>
      <c r="L119" s="6" t="str">
        <f>IFERROR(VLOOKUP(A119,'Product Master'!D116:F20115,3,0),"")</f>
        <v/>
      </c>
    </row>
    <row r="120" spans="1:12" x14ac:dyDescent="0.2">
      <c r="A120" s="1"/>
      <c r="B120" s="8">
        <f>SUMIFS('Stock In-Out'!D:D,'Stock In-Out'!B:B,"Opening Stock",'Stock In-Out'!A:A,Inventory!A120)</f>
        <v>0</v>
      </c>
      <c r="C120" s="8">
        <f>SUMIFS('Stock In-Out'!D:D,'Stock In-Out'!B:B,"In",'Stock In-Out'!A:A,Inventory!A120)</f>
        <v>0</v>
      </c>
      <c r="D120" s="8">
        <f>SUMIFS('Stock In-Out'!D:D,'Stock In-Out'!B:B,"Out",'Stock In-Out'!A:A,Inventory!A120)</f>
        <v>0</v>
      </c>
      <c r="E120" s="8">
        <f t="shared" si="2"/>
        <v>0</v>
      </c>
      <c r="F120" s="8" t="str">
        <f>IFERROR(VLOOKUP(A120,'Product Master'!D:N,10,0)*E120,"")</f>
        <v/>
      </c>
      <c r="G120" s="9" t="str">
        <f>IFERROR(VLOOKUP(A120,'Product Master'!D:N,11,0)*E120,"")</f>
        <v/>
      </c>
      <c r="H120" s="8">
        <f>SUMIFS('Product Master'!G:G,'Product Master'!D:D,Inventory!A120)+SUMIFS('Stock In-Out'!I:I,'Stock In-Out'!A:A,Inventory!A120)-SUMIFS('Stock In-Out'!J:J,'Stock In-Out'!A:A,Inventory!A120)</f>
        <v>0</v>
      </c>
      <c r="I120" s="8">
        <f>SUMIFS('Product Master'!H:H,'Product Master'!D:D,Inventory!A120)+SUMIFS('Stock In-Out'!K:K,'Stock In-Out'!A:A,Inventory!A120)-SUMIFS('Stock In-Out'!L:L,'Stock In-Out'!A:A,Inventory!A120)</f>
        <v>0</v>
      </c>
      <c r="J120" s="8">
        <f>SUMIFS('Product Master'!I:I,'Product Master'!D:D,Inventory!A120)+SUMIFS('Stock In-Out'!M:M,'Stock In-Out'!A:A,Inventory!A120)-SUMIFS('Stock In-Out'!N:N,'Stock In-Out'!A:A,Inventory!A120)</f>
        <v>0</v>
      </c>
      <c r="K120" s="8" t="str">
        <f>IFERROR(VLOOKUP(A120,'Product Master'!D:N,7,0),"")</f>
        <v/>
      </c>
      <c r="L120" s="6" t="str">
        <f>IFERROR(VLOOKUP(A120,'Product Master'!D117:F20116,3,0),"")</f>
        <v/>
      </c>
    </row>
    <row r="121" spans="1:12" x14ac:dyDescent="0.2">
      <c r="A121" s="1"/>
      <c r="B121" s="8">
        <f>SUMIFS('Stock In-Out'!D:D,'Stock In-Out'!B:B,"Opening Stock",'Stock In-Out'!A:A,Inventory!A121)</f>
        <v>0</v>
      </c>
      <c r="C121" s="8">
        <f>SUMIFS('Stock In-Out'!D:D,'Stock In-Out'!B:B,"In",'Stock In-Out'!A:A,Inventory!A121)</f>
        <v>0</v>
      </c>
      <c r="D121" s="8">
        <f>SUMIFS('Stock In-Out'!D:D,'Stock In-Out'!B:B,"Out",'Stock In-Out'!A:A,Inventory!A121)</f>
        <v>0</v>
      </c>
      <c r="E121" s="8">
        <f t="shared" si="2"/>
        <v>0</v>
      </c>
      <c r="F121" s="8" t="str">
        <f>IFERROR(VLOOKUP(A121,'Product Master'!D:N,10,0)*E121,"")</f>
        <v/>
      </c>
      <c r="G121" s="9" t="str">
        <f>IFERROR(VLOOKUP(A121,'Product Master'!D:N,11,0)*E121,"")</f>
        <v/>
      </c>
      <c r="H121" s="8">
        <f>SUMIFS('Product Master'!G:G,'Product Master'!D:D,Inventory!A121)+SUMIFS('Stock In-Out'!I:I,'Stock In-Out'!A:A,Inventory!A121)-SUMIFS('Stock In-Out'!J:J,'Stock In-Out'!A:A,Inventory!A121)</f>
        <v>0</v>
      </c>
      <c r="I121" s="8">
        <f>SUMIFS('Product Master'!H:H,'Product Master'!D:D,Inventory!A121)+SUMIFS('Stock In-Out'!K:K,'Stock In-Out'!A:A,Inventory!A121)-SUMIFS('Stock In-Out'!L:L,'Stock In-Out'!A:A,Inventory!A121)</f>
        <v>0</v>
      </c>
      <c r="J121" s="8">
        <f>SUMIFS('Product Master'!I:I,'Product Master'!D:D,Inventory!A121)+SUMIFS('Stock In-Out'!M:M,'Stock In-Out'!A:A,Inventory!A121)-SUMIFS('Stock In-Out'!N:N,'Stock In-Out'!A:A,Inventory!A121)</f>
        <v>0</v>
      </c>
      <c r="K121" s="8" t="str">
        <f>IFERROR(VLOOKUP(A121,'Product Master'!D:N,7,0),"")</f>
        <v/>
      </c>
      <c r="L121" s="6" t="str">
        <f>IFERROR(VLOOKUP(A121,'Product Master'!D118:F20117,3,0),"")</f>
        <v/>
      </c>
    </row>
    <row r="122" spans="1:12" x14ac:dyDescent="0.2">
      <c r="A122" s="1"/>
      <c r="B122" s="8">
        <f>SUMIFS('Stock In-Out'!D:D,'Stock In-Out'!B:B,"Opening Stock",'Stock In-Out'!A:A,Inventory!A122)</f>
        <v>0</v>
      </c>
      <c r="C122" s="8">
        <f>SUMIFS('Stock In-Out'!D:D,'Stock In-Out'!B:B,"In",'Stock In-Out'!A:A,Inventory!A122)</f>
        <v>0</v>
      </c>
      <c r="D122" s="8">
        <f>SUMIFS('Stock In-Out'!D:D,'Stock In-Out'!B:B,"Out",'Stock In-Out'!A:A,Inventory!A122)</f>
        <v>0</v>
      </c>
      <c r="E122" s="8">
        <f t="shared" si="2"/>
        <v>0</v>
      </c>
      <c r="F122" s="8" t="str">
        <f>IFERROR(VLOOKUP(A122,'Product Master'!D:N,10,0)*E122,"")</f>
        <v/>
      </c>
      <c r="G122" s="9" t="str">
        <f>IFERROR(VLOOKUP(A122,'Product Master'!D:N,11,0)*E122,"")</f>
        <v/>
      </c>
      <c r="H122" s="8">
        <f>SUMIFS('Product Master'!G:G,'Product Master'!D:D,Inventory!A122)+SUMIFS('Stock In-Out'!I:I,'Stock In-Out'!A:A,Inventory!A122)-SUMIFS('Stock In-Out'!J:J,'Stock In-Out'!A:A,Inventory!A122)</f>
        <v>0</v>
      </c>
      <c r="I122" s="8">
        <f>SUMIFS('Product Master'!H:H,'Product Master'!D:D,Inventory!A122)+SUMIFS('Stock In-Out'!K:K,'Stock In-Out'!A:A,Inventory!A122)-SUMIFS('Stock In-Out'!L:L,'Stock In-Out'!A:A,Inventory!A122)</f>
        <v>0</v>
      </c>
      <c r="J122" s="8">
        <f>SUMIFS('Product Master'!I:I,'Product Master'!D:D,Inventory!A122)+SUMIFS('Stock In-Out'!M:M,'Stock In-Out'!A:A,Inventory!A122)-SUMIFS('Stock In-Out'!N:N,'Stock In-Out'!A:A,Inventory!A122)</f>
        <v>0</v>
      </c>
      <c r="K122" s="8" t="str">
        <f>IFERROR(VLOOKUP(A122,'Product Master'!D:N,7,0),"")</f>
        <v/>
      </c>
      <c r="L122" s="6" t="str">
        <f>IFERROR(VLOOKUP(A122,'Product Master'!D119:F20118,3,0),"")</f>
        <v/>
      </c>
    </row>
    <row r="123" spans="1:12" x14ac:dyDescent="0.2">
      <c r="A123" s="1"/>
      <c r="B123" s="8">
        <f>SUMIFS('Stock In-Out'!D:D,'Stock In-Out'!B:B,"Opening Stock",'Stock In-Out'!A:A,Inventory!A123)</f>
        <v>0</v>
      </c>
      <c r="C123" s="8">
        <f>SUMIFS('Stock In-Out'!D:D,'Stock In-Out'!B:B,"In",'Stock In-Out'!A:A,Inventory!A123)</f>
        <v>0</v>
      </c>
      <c r="D123" s="8">
        <f>SUMIFS('Stock In-Out'!D:D,'Stock In-Out'!B:B,"Out",'Stock In-Out'!A:A,Inventory!A123)</f>
        <v>0</v>
      </c>
      <c r="E123" s="8">
        <f t="shared" si="2"/>
        <v>0</v>
      </c>
      <c r="F123" s="8" t="str">
        <f>IFERROR(VLOOKUP(A123,'Product Master'!D:N,10,0)*E123,"")</f>
        <v/>
      </c>
      <c r="G123" s="9" t="str">
        <f>IFERROR(VLOOKUP(A123,'Product Master'!D:N,11,0)*E123,"")</f>
        <v/>
      </c>
      <c r="H123" s="8">
        <f>SUMIFS('Product Master'!G:G,'Product Master'!D:D,Inventory!A123)+SUMIFS('Stock In-Out'!I:I,'Stock In-Out'!A:A,Inventory!A123)-SUMIFS('Stock In-Out'!J:J,'Stock In-Out'!A:A,Inventory!A123)</f>
        <v>0</v>
      </c>
      <c r="I123" s="8">
        <f>SUMIFS('Product Master'!H:H,'Product Master'!D:D,Inventory!A123)+SUMIFS('Stock In-Out'!K:K,'Stock In-Out'!A:A,Inventory!A123)-SUMIFS('Stock In-Out'!L:L,'Stock In-Out'!A:A,Inventory!A123)</f>
        <v>0</v>
      </c>
      <c r="J123" s="8">
        <f>SUMIFS('Product Master'!I:I,'Product Master'!D:D,Inventory!A123)+SUMIFS('Stock In-Out'!M:M,'Stock In-Out'!A:A,Inventory!A123)-SUMIFS('Stock In-Out'!N:N,'Stock In-Out'!A:A,Inventory!A123)</f>
        <v>0</v>
      </c>
      <c r="K123" s="8" t="str">
        <f>IFERROR(VLOOKUP(A123,'Product Master'!D:N,7,0),"")</f>
        <v/>
      </c>
      <c r="L123" s="6" t="str">
        <f>IFERROR(VLOOKUP(A123,'Product Master'!D120:F20119,3,0),"")</f>
        <v/>
      </c>
    </row>
    <row r="124" spans="1:12" x14ac:dyDescent="0.2">
      <c r="A124" s="1"/>
      <c r="B124" s="8">
        <f>SUMIFS('Stock In-Out'!D:D,'Stock In-Out'!B:B,"Opening Stock",'Stock In-Out'!A:A,Inventory!A124)</f>
        <v>0</v>
      </c>
      <c r="C124" s="8">
        <f>SUMIFS('Stock In-Out'!D:D,'Stock In-Out'!B:B,"In",'Stock In-Out'!A:A,Inventory!A124)</f>
        <v>0</v>
      </c>
      <c r="D124" s="8">
        <f>SUMIFS('Stock In-Out'!D:D,'Stock In-Out'!B:B,"Out",'Stock In-Out'!A:A,Inventory!A124)</f>
        <v>0</v>
      </c>
      <c r="E124" s="8">
        <f t="shared" si="2"/>
        <v>0</v>
      </c>
      <c r="F124" s="8" t="str">
        <f>IFERROR(VLOOKUP(A124,'Product Master'!D:N,10,0)*E124,"")</f>
        <v/>
      </c>
      <c r="G124" s="9" t="str">
        <f>IFERROR(VLOOKUP(A124,'Product Master'!D:N,11,0)*E124,"")</f>
        <v/>
      </c>
      <c r="H124" s="8">
        <f>SUMIFS('Product Master'!G:G,'Product Master'!D:D,Inventory!A124)+SUMIFS('Stock In-Out'!I:I,'Stock In-Out'!A:A,Inventory!A124)-SUMIFS('Stock In-Out'!J:J,'Stock In-Out'!A:A,Inventory!A124)</f>
        <v>0</v>
      </c>
      <c r="I124" s="8">
        <f>SUMIFS('Product Master'!H:H,'Product Master'!D:D,Inventory!A124)+SUMIFS('Stock In-Out'!K:K,'Stock In-Out'!A:A,Inventory!A124)-SUMIFS('Stock In-Out'!L:L,'Stock In-Out'!A:A,Inventory!A124)</f>
        <v>0</v>
      </c>
      <c r="J124" s="8">
        <f>SUMIFS('Product Master'!I:I,'Product Master'!D:D,Inventory!A124)+SUMIFS('Stock In-Out'!M:M,'Stock In-Out'!A:A,Inventory!A124)-SUMIFS('Stock In-Out'!N:N,'Stock In-Out'!A:A,Inventory!A124)</f>
        <v>0</v>
      </c>
      <c r="K124" s="8" t="str">
        <f>IFERROR(VLOOKUP(A124,'Product Master'!D:N,7,0),"")</f>
        <v/>
      </c>
      <c r="L124" s="6" t="str">
        <f>IFERROR(VLOOKUP(A124,'Product Master'!D121:F20120,3,0),"")</f>
        <v/>
      </c>
    </row>
    <row r="125" spans="1:12" x14ac:dyDescent="0.2">
      <c r="A125" s="1"/>
      <c r="B125" s="8">
        <f>SUMIFS('Stock In-Out'!D:D,'Stock In-Out'!B:B,"Opening Stock",'Stock In-Out'!A:A,Inventory!A125)</f>
        <v>0</v>
      </c>
      <c r="C125" s="8">
        <f>SUMIFS('Stock In-Out'!D:D,'Stock In-Out'!B:B,"In",'Stock In-Out'!A:A,Inventory!A125)</f>
        <v>0</v>
      </c>
      <c r="D125" s="8">
        <f>SUMIFS('Stock In-Out'!D:D,'Stock In-Out'!B:B,"Out",'Stock In-Out'!A:A,Inventory!A125)</f>
        <v>0</v>
      </c>
      <c r="E125" s="8">
        <f t="shared" si="2"/>
        <v>0</v>
      </c>
      <c r="F125" s="8" t="str">
        <f>IFERROR(VLOOKUP(A125,'Product Master'!D:N,10,0)*E125,"")</f>
        <v/>
      </c>
      <c r="G125" s="9" t="str">
        <f>IFERROR(VLOOKUP(A125,'Product Master'!D:N,11,0)*E125,"")</f>
        <v/>
      </c>
      <c r="H125" s="8">
        <f>SUMIFS('Product Master'!G:G,'Product Master'!D:D,Inventory!A125)+SUMIFS('Stock In-Out'!I:I,'Stock In-Out'!A:A,Inventory!A125)-SUMIFS('Stock In-Out'!J:J,'Stock In-Out'!A:A,Inventory!A125)</f>
        <v>0</v>
      </c>
      <c r="I125" s="8">
        <f>SUMIFS('Product Master'!H:H,'Product Master'!D:D,Inventory!A125)+SUMIFS('Stock In-Out'!K:K,'Stock In-Out'!A:A,Inventory!A125)-SUMIFS('Stock In-Out'!L:L,'Stock In-Out'!A:A,Inventory!A125)</f>
        <v>0</v>
      </c>
      <c r="J125" s="8">
        <f>SUMIFS('Product Master'!I:I,'Product Master'!D:D,Inventory!A125)+SUMIFS('Stock In-Out'!M:M,'Stock In-Out'!A:A,Inventory!A125)-SUMIFS('Stock In-Out'!N:N,'Stock In-Out'!A:A,Inventory!A125)</f>
        <v>0</v>
      </c>
      <c r="K125" s="8" t="str">
        <f>IFERROR(VLOOKUP(A125,'Product Master'!D:N,7,0),"")</f>
        <v/>
      </c>
      <c r="L125" s="6" t="str">
        <f>IFERROR(VLOOKUP(A125,'Product Master'!D122:F20121,3,0),"")</f>
        <v/>
      </c>
    </row>
    <row r="126" spans="1:12" x14ac:dyDescent="0.2">
      <c r="A126" s="1"/>
      <c r="B126" s="8">
        <f>SUMIFS('Stock In-Out'!D:D,'Stock In-Out'!B:B,"Opening Stock",'Stock In-Out'!A:A,Inventory!A126)</f>
        <v>0</v>
      </c>
      <c r="C126" s="8">
        <f>SUMIFS('Stock In-Out'!D:D,'Stock In-Out'!B:B,"In",'Stock In-Out'!A:A,Inventory!A126)</f>
        <v>0</v>
      </c>
      <c r="D126" s="8">
        <f>SUMIFS('Stock In-Out'!D:D,'Stock In-Out'!B:B,"Out",'Stock In-Out'!A:A,Inventory!A126)</f>
        <v>0</v>
      </c>
      <c r="E126" s="8">
        <f t="shared" si="2"/>
        <v>0</v>
      </c>
      <c r="F126" s="8" t="str">
        <f>IFERROR(VLOOKUP(A126,'Product Master'!D:N,10,0)*E126,"")</f>
        <v/>
      </c>
      <c r="G126" s="9" t="str">
        <f>IFERROR(VLOOKUP(A126,'Product Master'!D:N,11,0)*E126,"")</f>
        <v/>
      </c>
      <c r="H126" s="8">
        <f>SUMIFS('Product Master'!G:G,'Product Master'!D:D,Inventory!A126)+SUMIFS('Stock In-Out'!I:I,'Stock In-Out'!A:A,Inventory!A126)-SUMIFS('Stock In-Out'!J:J,'Stock In-Out'!A:A,Inventory!A126)</f>
        <v>0</v>
      </c>
      <c r="I126" s="8">
        <f>SUMIFS('Product Master'!H:H,'Product Master'!D:D,Inventory!A126)+SUMIFS('Stock In-Out'!K:K,'Stock In-Out'!A:A,Inventory!A126)-SUMIFS('Stock In-Out'!L:L,'Stock In-Out'!A:A,Inventory!A126)</f>
        <v>0</v>
      </c>
      <c r="J126" s="8">
        <f>SUMIFS('Product Master'!I:I,'Product Master'!D:D,Inventory!A126)+SUMIFS('Stock In-Out'!M:M,'Stock In-Out'!A:A,Inventory!A126)-SUMIFS('Stock In-Out'!N:N,'Stock In-Out'!A:A,Inventory!A126)</f>
        <v>0</v>
      </c>
      <c r="K126" s="8" t="str">
        <f>IFERROR(VLOOKUP(A126,'Product Master'!D:N,7,0),"")</f>
        <v/>
      </c>
      <c r="L126" s="6" t="str">
        <f>IFERROR(VLOOKUP(A126,'Product Master'!D123:F20122,3,0),"")</f>
        <v/>
      </c>
    </row>
    <row r="127" spans="1:12" x14ac:dyDescent="0.2">
      <c r="A127" s="1"/>
      <c r="B127" s="8">
        <f>SUMIFS('Stock In-Out'!D:D,'Stock In-Out'!B:B,"Opening Stock",'Stock In-Out'!A:A,Inventory!A127)</f>
        <v>0</v>
      </c>
      <c r="C127" s="8">
        <f>SUMIFS('Stock In-Out'!D:D,'Stock In-Out'!B:B,"In",'Stock In-Out'!A:A,Inventory!A127)</f>
        <v>0</v>
      </c>
      <c r="D127" s="8">
        <f>SUMIFS('Stock In-Out'!D:D,'Stock In-Out'!B:B,"Out",'Stock In-Out'!A:A,Inventory!A127)</f>
        <v>0</v>
      </c>
      <c r="E127" s="8">
        <f t="shared" si="2"/>
        <v>0</v>
      </c>
      <c r="F127" s="8" t="str">
        <f>IFERROR(VLOOKUP(A127,'Product Master'!D:N,10,0)*E127,"")</f>
        <v/>
      </c>
      <c r="G127" s="9" t="str">
        <f>IFERROR(VLOOKUP(A127,'Product Master'!D:N,11,0)*E127,"")</f>
        <v/>
      </c>
      <c r="H127" s="8">
        <f>SUMIFS('Product Master'!G:G,'Product Master'!D:D,Inventory!A127)+SUMIFS('Stock In-Out'!I:I,'Stock In-Out'!A:A,Inventory!A127)-SUMIFS('Stock In-Out'!J:J,'Stock In-Out'!A:A,Inventory!A127)</f>
        <v>0</v>
      </c>
      <c r="I127" s="8">
        <f>SUMIFS('Product Master'!H:H,'Product Master'!D:D,Inventory!A127)+SUMIFS('Stock In-Out'!K:K,'Stock In-Out'!A:A,Inventory!A127)-SUMIFS('Stock In-Out'!L:L,'Stock In-Out'!A:A,Inventory!A127)</f>
        <v>0</v>
      </c>
      <c r="J127" s="8">
        <f>SUMIFS('Product Master'!I:I,'Product Master'!D:D,Inventory!A127)+SUMIFS('Stock In-Out'!M:M,'Stock In-Out'!A:A,Inventory!A127)-SUMIFS('Stock In-Out'!N:N,'Stock In-Out'!A:A,Inventory!A127)</f>
        <v>0</v>
      </c>
      <c r="K127" s="8" t="str">
        <f>IFERROR(VLOOKUP(A127,'Product Master'!D:N,7,0),"")</f>
        <v/>
      </c>
      <c r="L127" s="6" t="str">
        <f>IFERROR(VLOOKUP(A127,'Product Master'!D124:F20123,3,0),"")</f>
        <v/>
      </c>
    </row>
    <row r="128" spans="1:12" x14ac:dyDescent="0.2">
      <c r="A128" s="1"/>
      <c r="B128" s="8">
        <f>SUMIFS('Stock In-Out'!D:D,'Stock In-Out'!B:B,"Opening Stock",'Stock In-Out'!A:A,Inventory!A128)</f>
        <v>0</v>
      </c>
      <c r="C128" s="8">
        <f>SUMIFS('Stock In-Out'!D:D,'Stock In-Out'!B:B,"In",'Stock In-Out'!A:A,Inventory!A128)</f>
        <v>0</v>
      </c>
      <c r="D128" s="8">
        <f>SUMIFS('Stock In-Out'!D:D,'Stock In-Out'!B:B,"Out",'Stock In-Out'!A:A,Inventory!A128)</f>
        <v>0</v>
      </c>
      <c r="E128" s="8">
        <f t="shared" si="2"/>
        <v>0</v>
      </c>
      <c r="F128" s="8" t="str">
        <f>IFERROR(VLOOKUP(A128,'Product Master'!D:N,10,0)*E128,"")</f>
        <v/>
      </c>
      <c r="G128" s="9" t="str">
        <f>IFERROR(VLOOKUP(A128,'Product Master'!D:N,11,0)*E128,"")</f>
        <v/>
      </c>
      <c r="H128" s="8">
        <f>SUMIFS('Product Master'!G:G,'Product Master'!D:D,Inventory!A128)+SUMIFS('Stock In-Out'!I:I,'Stock In-Out'!A:A,Inventory!A128)-SUMIFS('Stock In-Out'!J:J,'Stock In-Out'!A:A,Inventory!A128)</f>
        <v>0</v>
      </c>
      <c r="I128" s="8">
        <f>SUMIFS('Product Master'!H:H,'Product Master'!D:D,Inventory!A128)+SUMIFS('Stock In-Out'!K:K,'Stock In-Out'!A:A,Inventory!A128)-SUMIFS('Stock In-Out'!L:L,'Stock In-Out'!A:A,Inventory!A128)</f>
        <v>0</v>
      </c>
      <c r="J128" s="8">
        <f>SUMIFS('Product Master'!I:I,'Product Master'!D:D,Inventory!A128)+SUMIFS('Stock In-Out'!M:M,'Stock In-Out'!A:A,Inventory!A128)-SUMIFS('Stock In-Out'!N:N,'Stock In-Out'!A:A,Inventory!A128)</f>
        <v>0</v>
      </c>
      <c r="K128" s="8" t="str">
        <f>IFERROR(VLOOKUP(A128,'Product Master'!D:N,7,0),"")</f>
        <v/>
      </c>
      <c r="L128" s="6" t="str">
        <f>IFERROR(VLOOKUP(A128,'Product Master'!D125:F20124,3,0),"")</f>
        <v/>
      </c>
    </row>
    <row r="129" spans="1:12" x14ac:dyDescent="0.2">
      <c r="A129" s="1"/>
      <c r="B129" s="8">
        <f>SUMIFS('Stock In-Out'!D:D,'Stock In-Out'!B:B,"Opening Stock",'Stock In-Out'!A:A,Inventory!A129)</f>
        <v>0</v>
      </c>
      <c r="C129" s="8">
        <f>SUMIFS('Stock In-Out'!D:D,'Stock In-Out'!B:B,"In",'Stock In-Out'!A:A,Inventory!A129)</f>
        <v>0</v>
      </c>
      <c r="D129" s="8">
        <f>SUMIFS('Stock In-Out'!D:D,'Stock In-Out'!B:B,"Out",'Stock In-Out'!A:A,Inventory!A129)</f>
        <v>0</v>
      </c>
      <c r="E129" s="8">
        <f t="shared" si="2"/>
        <v>0</v>
      </c>
      <c r="F129" s="8" t="str">
        <f>IFERROR(VLOOKUP(A129,'Product Master'!D:N,10,0)*E129,"")</f>
        <v/>
      </c>
      <c r="G129" s="9" t="str">
        <f>IFERROR(VLOOKUP(A129,'Product Master'!D:N,11,0)*E129,"")</f>
        <v/>
      </c>
      <c r="H129" s="8">
        <f>SUMIFS('Product Master'!G:G,'Product Master'!D:D,Inventory!A129)+SUMIFS('Stock In-Out'!I:I,'Stock In-Out'!A:A,Inventory!A129)-SUMIFS('Stock In-Out'!J:J,'Stock In-Out'!A:A,Inventory!A129)</f>
        <v>0</v>
      </c>
      <c r="I129" s="8">
        <f>SUMIFS('Product Master'!H:H,'Product Master'!D:D,Inventory!A129)+SUMIFS('Stock In-Out'!K:K,'Stock In-Out'!A:A,Inventory!A129)-SUMIFS('Stock In-Out'!L:L,'Stock In-Out'!A:A,Inventory!A129)</f>
        <v>0</v>
      </c>
      <c r="J129" s="8">
        <f>SUMIFS('Product Master'!I:I,'Product Master'!D:D,Inventory!A129)+SUMIFS('Stock In-Out'!M:M,'Stock In-Out'!A:A,Inventory!A129)-SUMIFS('Stock In-Out'!N:N,'Stock In-Out'!A:A,Inventory!A129)</f>
        <v>0</v>
      </c>
      <c r="K129" s="8" t="str">
        <f>IFERROR(VLOOKUP(A129,'Product Master'!D:N,7,0),"")</f>
        <v/>
      </c>
      <c r="L129" s="6" t="str">
        <f>IFERROR(VLOOKUP(A129,'Product Master'!D126:F20125,3,0),"")</f>
        <v/>
      </c>
    </row>
    <row r="130" spans="1:12" x14ac:dyDescent="0.2">
      <c r="A130" s="1"/>
      <c r="B130" s="8">
        <f>SUMIFS('Stock In-Out'!D:D,'Stock In-Out'!B:B,"Opening Stock",'Stock In-Out'!A:A,Inventory!A130)</f>
        <v>0</v>
      </c>
      <c r="C130" s="8">
        <f>SUMIFS('Stock In-Out'!D:D,'Stock In-Out'!B:B,"In",'Stock In-Out'!A:A,Inventory!A130)</f>
        <v>0</v>
      </c>
      <c r="D130" s="8">
        <f>SUMIFS('Stock In-Out'!D:D,'Stock In-Out'!B:B,"Out",'Stock In-Out'!A:A,Inventory!A130)</f>
        <v>0</v>
      </c>
      <c r="E130" s="8">
        <f t="shared" si="2"/>
        <v>0</v>
      </c>
      <c r="F130" s="8" t="str">
        <f>IFERROR(VLOOKUP(A130,'Product Master'!D:N,10,0)*E130,"")</f>
        <v/>
      </c>
      <c r="G130" s="9" t="str">
        <f>IFERROR(VLOOKUP(A130,'Product Master'!D:N,11,0)*E130,"")</f>
        <v/>
      </c>
      <c r="H130" s="8">
        <f>SUMIFS('Product Master'!G:G,'Product Master'!D:D,Inventory!A130)+SUMIFS('Stock In-Out'!I:I,'Stock In-Out'!A:A,Inventory!A130)-SUMIFS('Stock In-Out'!J:J,'Stock In-Out'!A:A,Inventory!A130)</f>
        <v>0</v>
      </c>
      <c r="I130" s="8">
        <f>SUMIFS('Product Master'!H:H,'Product Master'!D:D,Inventory!A130)+SUMIFS('Stock In-Out'!K:K,'Stock In-Out'!A:A,Inventory!A130)-SUMIFS('Stock In-Out'!L:L,'Stock In-Out'!A:A,Inventory!A130)</f>
        <v>0</v>
      </c>
      <c r="J130" s="8">
        <f>SUMIFS('Product Master'!I:I,'Product Master'!D:D,Inventory!A130)+SUMIFS('Stock In-Out'!M:M,'Stock In-Out'!A:A,Inventory!A130)-SUMIFS('Stock In-Out'!N:N,'Stock In-Out'!A:A,Inventory!A130)</f>
        <v>0</v>
      </c>
      <c r="K130" s="8" t="str">
        <f>IFERROR(VLOOKUP(A130,'Product Master'!D:N,7,0),"")</f>
        <v/>
      </c>
      <c r="L130" s="6" t="str">
        <f>IFERROR(VLOOKUP(A130,'Product Master'!D127:F20126,3,0),"")</f>
        <v/>
      </c>
    </row>
    <row r="131" spans="1:12" x14ac:dyDescent="0.2">
      <c r="A131" s="1"/>
      <c r="B131" s="8">
        <f>SUMIFS('Stock In-Out'!D:D,'Stock In-Out'!B:B,"Opening Stock",'Stock In-Out'!A:A,Inventory!A131)</f>
        <v>0</v>
      </c>
      <c r="C131" s="8">
        <f>SUMIFS('Stock In-Out'!D:D,'Stock In-Out'!B:B,"In",'Stock In-Out'!A:A,Inventory!A131)</f>
        <v>0</v>
      </c>
      <c r="D131" s="8">
        <f>SUMIFS('Stock In-Out'!D:D,'Stock In-Out'!B:B,"Out",'Stock In-Out'!A:A,Inventory!A131)</f>
        <v>0</v>
      </c>
      <c r="E131" s="8">
        <f t="shared" si="2"/>
        <v>0</v>
      </c>
      <c r="F131" s="8" t="str">
        <f>IFERROR(VLOOKUP(A131,'Product Master'!D:N,10,0)*E131,"")</f>
        <v/>
      </c>
      <c r="G131" s="9" t="str">
        <f>IFERROR(VLOOKUP(A131,'Product Master'!D:N,11,0)*E131,"")</f>
        <v/>
      </c>
      <c r="H131" s="8">
        <f>SUMIFS('Product Master'!G:G,'Product Master'!D:D,Inventory!A131)+SUMIFS('Stock In-Out'!I:I,'Stock In-Out'!A:A,Inventory!A131)-SUMIFS('Stock In-Out'!J:J,'Stock In-Out'!A:A,Inventory!A131)</f>
        <v>0</v>
      </c>
      <c r="I131" s="8">
        <f>SUMIFS('Product Master'!H:H,'Product Master'!D:D,Inventory!A131)+SUMIFS('Stock In-Out'!K:K,'Stock In-Out'!A:A,Inventory!A131)-SUMIFS('Stock In-Out'!L:L,'Stock In-Out'!A:A,Inventory!A131)</f>
        <v>0</v>
      </c>
      <c r="J131" s="8">
        <f>SUMIFS('Product Master'!I:I,'Product Master'!D:D,Inventory!A131)+SUMIFS('Stock In-Out'!M:M,'Stock In-Out'!A:A,Inventory!A131)-SUMIFS('Stock In-Out'!N:N,'Stock In-Out'!A:A,Inventory!A131)</f>
        <v>0</v>
      </c>
      <c r="K131" s="8" t="str">
        <f>IFERROR(VLOOKUP(A131,'Product Master'!D:N,7,0),"")</f>
        <v/>
      </c>
      <c r="L131" s="6" t="str">
        <f>IFERROR(VLOOKUP(A131,'Product Master'!D128:F20127,3,0),"")</f>
        <v/>
      </c>
    </row>
    <row r="132" spans="1:12" x14ac:dyDescent="0.2">
      <c r="A132" s="1"/>
      <c r="B132" s="8">
        <f>SUMIFS('Stock In-Out'!D:D,'Stock In-Out'!B:B,"Opening Stock",'Stock In-Out'!A:A,Inventory!A132)</f>
        <v>0</v>
      </c>
      <c r="C132" s="8">
        <f>SUMIFS('Stock In-Out'!D:D,'Stock In-Out'!B:B,"In",'Stock In-Out'!A:A,Inventory!A132)</f>
        <v>0</v>
      </c>
      <c r="D132" s="8">
        <f>SUMIFS('Stock In-Out'!D:D,'Stock In-Out'!B:B,"Out",'Stock In-Out'!A:A,Inventory!A132)</f>
        <v>0</v>
      </c>
      <c r="E132" s="8">
        <f t="shared" si="2"/>
        <v>0</v>
      </c>
      <c r="F132" s="8" t="str">
        <f>IFERROR(VLOOKUP(A132,'Product Master'!D:N,10,0)*E132,"")</f>
        <v/>
      </c>
      <c r="G132" s="9" t="str">
        <f>IFERROR(VLOOKUP(A132,'Product Master'!D:N,11,0)*E132,"")</f>
        <v/>
      </c>
      <c r="H132" s="8">
        <f>SUMIFS('Product Master'!G:G,'Product Master'!D:D,Inventory!A132)+SUMIFS('Stock In-Out'!I:I,'Stock In-Out'!A:A,Inventory!A132)-SUMIFS('Stock In-Out'!J:J,'Stock In-Out'!A:A,Inventory!A132)</f>
        <v>0</v>
      </c>
      <c r="I132" s="8">
        <f>SUMIFS('Product Master'!H:H,'Product Master'!D:D,Inventory!A132)+SUMIFS('Stock In-Out'!K:K,'Stock In-Out'!A:A,Inventory!A132)-SUMIFS('Stock In-Out'!L:L,'Stock In-Out'!A:A,Inventory!A132)</f>
        <v>0</v>
      </c>
      <c r="J132" s="8">
        <f>SUMIFS('Product Master'!I:I,'Product Master'!D:D,Inventory!A132)+SUMIFS('Stock In-Out'!M:M,'Stock In-Out'!A:A,Inventory!A132)-SUMIFS('Stock In-Out'!N:N,'Stock In-Out'!A:A,Inventory!A132)</f>
        <v>0</v>
      </c>
      <c r="K132" s="8" t="str">
        <f>IFERROR(VLOOKUP(A132,'Product Master'!D:N,7,0),"")</f>
        <v/>
      </c>
      <c r="L132" s="6" t="str">
        <f>IFERROR(VLOOKUP(A132,'Product Master'!D129:F20128,3,0),"")</f>
        <v/>
      </c>
    </row>
    <row r="133" spans="1:12" x14ac:dyDescent="0.2">
      <c r="A133" s="1"/>
      <c r="B133" s="8">
        <f>SUMIFS('Stock In-Out'!D:D,'Stock In-Out'!B:B,"Opening Stock",'Stock In-Out'!A:A,Inventory!A133)</f>
        <v>0</v>
      </c>
      <c r="C133" s="8">
        <f>SUMIFS('Stock In-Out'!D:D,'Stock In-Out'!B:B,"In",'Stock In-Out'!A:A,Inventory!A133)</f>
        <v>0</v>
      </c>
      <c r="D133" s="8">
        <f>SUMIFS('Stock In-Out'!D:D,'Stock In-Out'!B:B,"Out",'Stock In-Out'!A:A,Inventory!A133)</f>
        <v>0</v>
      </c>
      <c r="E133" s="8">
        <f t="shared" si="2"/>
        <v>0</v>
      </c>
      <c r="F133" s="8" t="str">
        <f>IFERROR(VLOOKUP(A133,'Product Master'!D:N,10,0)*E133,"")</f>
        <v/>
      </c>
      <c r="G133" s="9" t="str">
        <f>IFERROR(VLOOKUP(A133,'Product Master'!D:N,11,0)*E133,"")</f>
        <v/>
      </c>
      <c r="H133" s="8">
        <f>SUMIFS('Product Master'!G:G,'Product Master'!D:D,Inventory!A133)+SUMIFS('Stock In-Out'!I:I,'Stock In-Out'!A:A,Inventory!A133)-SUMIFS('Stock In-Out'!J:J,'Stock In-Out'!A:A,Inventory!A133)</f>
        <v>0</v>
      </c>
      <c r="I133" s="8">
        <f>SUMIFS('Product Master'!H:H,'Product Master'!D:D,Inventory!A133)+SUMIFS('Stock In-Out'!K:K,'Stock In-Out'!A:A,Inventory!A133)-SUMIFS('Stock In-Out'!L:L,'Stock In-Out'!A:A,Inventory!A133)</f>
        <v>0</v>
      </c>
      <c r="J133" s="8">
        <f>SUMIFS('Product Master'!I:I,'Product Master'!D:D,Inventory!A133)+SUMIFS('Stock In-Out'!M:M,'Stock In-Out'!A:A,Inventory!A133)-SUMIFS('Stock In-Out'!N:N,'Stock In-Out'!A:A,Inventory!A133)</f>
        <v>0</v>
      </c>
      <c r="K133" s="8" t="str">
        <f>IFERROR(VLOOKUP(A133,'Product Master'!D:N,7,0),"")</f>
        <v/>
      </c>
      <c r="L133" s="6" t="str">
        <f>IFERROR(VLOOKUP(A133,'Product Master'!D130:F20129,3,0),"")</f>
        <v/>
      </c>
    </row>
    <row r="134" spans="1:12" x14ac:dyDescent="0.2">
      <c r="A134" s="1"/>
      <c r="B134" s="8">
        <f>SUMIFS('Stock In-Out'!D:D,'Stock In-Out'!B:B,"Opening Stock",'Stock In-Out'!A:A,Inventory!A134)</f>
        <v>0</v>
      </c>
      <c r="C134" s="8">
        <f>SUMIFS('Stock In-Out'!D:D,'Stock In-Out'!B:B,"In",'Stock In-Out'!A:A,Inventory!A134)</f>
        <v>0</v>
      </c>
      <c r="D134" s="8">
        <f>SUMIFS('Stock In-Out'!D:D,'Stock In-Out'!B:B,"Out",'Stock In-Out'!A:A,Inventory!A134)</f>
        <v>0</v>
      </c>
      <c r="E134" s="8">
        <f t="shared" ref="E134:E197" si="3">B134+C134-D134</f>
        <v>0</v>
      </c>
      <c r="F134" s="8" t="str">
        <f>IFERROR(VLOOKUP(A134,'Product Master'!D:N,10,0)*E134,"")</f>
        <v/>
      </c>
      <c r="G134" s="9" t="str">
        <f>IFERROR(VLOOKUP(A134,'Product Master'!D:N,11,0)*E134,"")</f>
        <v/>
      </c>
      <c r="H134" s="8">
        <f>SUMIFS('Product Master'!G:G,'Product Master'!D:D,Inventory!A134)+SUMIFS('Stock In-Out'!I:I,'Stock In-Out'!A:A,Inventory!A134)-SUMIFS('Stock In-Out'!J:J,'Stock In-Out'!A:A,Inventory!A134)</f>
        <v>0</v>
      </c>
      <c r="I134" s="8">
        <f>SUMIFS('Product Master'!H:H,'Product Master'!D:D,Inventory!A134)+SUMIFS('Stock In-Out'!K:K,'Stock In-Out'!A:A,Inventory!A134)-SUMIFS('Stock In-Out'!L:L,'Stock In-Out'!A:A,Inventory!A134)</f>
        <v>0</v>
      </c>
      <c r="J134" s="8">
        <f>SUMIFS('Product Master'!I:I,'Product Master'!D:D,Inventory!A134)+SUMIFS('Stock In-Out'!M:M,'Stock In-Out'!A:A,Inventory!A134)-SUMIFS('Stock In-Out'!N:N,'Stock In-Out'!A:A,Inventory!A134)</f>
        <v>0</v>
      </c>
      <c r="K134" s="8" t="str">
        <f>IFERROR(VLOOKUP(A134,'Product Master'!D:N,7,0),"")</f>
        <v/>
      </c>
      <c r="L134" s="6" t="str">
        <f>IFERROR(VLOOKUP(A134,'Product Master'!D131:F20130,3,0),"")</f>
        <v/>
      </c>
    </row>
    <row r="135" spans="1:12" x14ac:dyDescent="0.2">
      <c r="A135" s="1"/>
      <c r="B135" s="8">
        <f>SUMIFS('Stock In-Out'!D:D,'Stock In-Out'!B:B,"Opening Stock",'Stock In-Out'!A:A,Inventory!A135)</f>
        <v>0</v>
      </c>
      <c r="C135" s="8">
        <f>SUMIFS('Stock In-Out'!D:D,'Stock In-Out'!B:B,"In",'Stock In-Out'!A:A,Inventory!A135)</f>
        <v>0</v>
      </c>
      <c r="D135" s="8">
        <f>SUMIFS('Stock In-Out'!D:D,'Stock In-Out'!B:B,"Out",'Stock In-Out'!A:A,Inventory!A135)</f>
        <v>0</v>
      </c>
      <c r="E135" s="8">
        <f t="shared" si="3"/>
        <v>0</v>
      </c>
      <c r="F135" s="8" t="str">
        <f>IFERROR(VLOOKUP(A135,'Product Master'!D:N,10,0)*E135,"")</f>
        <v/>
      </c>
      <c r="G135" s="9" t="str">
        <f>IFERROR(VLOOKUP(A135,'Product Master'!D:N,11,0)*E135,"")</f>
        <v/>
      </c>
      <c r="H135" s="8">
        <f>SUMIFS('Product Master'!G:G,'Product Master'!D:D,Inventory!A135)+SUMIFS('Stock In-Out'!I:I,'Stock In-Out'!A:A,Inventory!A135)-SUMIFS('Stock In-Out'!J:J,'Stock In-Out'!A:A,Inventory!A135)</f>
        <v>0</v>
      </c>
      <c r="I135" s="8">
        <f>SUMIFS('Product Master'!H:H,'Product Master'!D:D,Inventory!A135)+SUMIFS('Stock In-Out'!K:K,'Stock In-Out'!A:A,Inventory!A135)-SUMIFS('Stock In-Out'!L:L,'Stock In-Out'!A:A,Inventory!A135)</f>
        <v>0</v>
      </c>
      <c r="J135" s="8">
        <f>SUMIFS('Product Master'!I:I,'Product Master'!D:D,Inventory!A135)+SUMIFS('Stock In-Out'!M:M,'Stock In-Out'!A:A,Inventory!A135)-SUMIFS('Stock In-Out'!N:N,'Stock In-Out'!A:A,Inventory!A135)</f>
        <v>0</v>
      </c>
      <c r="K135" s="8" t="str">
        <f>IFERROR(VLOOKUP(A135,'Product Master'!D:N,7,0),"")</f>
        <v/>
      </c>
      <c r="L135" s="6" t="str">
        <f>IFERROR(VLOOKUP(A135,'Product Master'!D132:F20131,3,0),"")</f>
        <v/>
      </c>
    </row>
    <row r="136" spans="1:12" x14ac:dyDescent="0.2">
      <c r="A136" s="1"/>
      <c r="B136" s="8">
        <f>SUMIFS('Stock In-Out'!D:D,'Stock In-Out'!B:B,"Opening Stock",'Stock In-Out'!A:A,Inventory!A136)</f>
        <v>0</v>
      </c>
      <c r="C136" s="8">
        <f>SUMIFS('Stock In-Out'!D:D,'Stock In-Out'!B:B,"In",'Stock In-Out'!A:A,Inventory!A136)</f>
        <v>0</v>
      </c>
      <c r="D136" s="8">
        <f>SUMIFS('Stock In-Out'!D:D,'Stock In-Out'!B:B,"Out",'Stock In-Out'!A:A,Inventory!A136)</f>
        <v>0</v>
      </c>
      <c r="E136" s="8">
        <f t="shared" si="3"/>
        <v>0</v>
      </c>
      <c r="F136" s="8" t="str">
        <f>IFERROR(VLOOKUP(A136,'Product Master'!D:N,10,0)*E136,"")</f>
        <v/>
      </c>
      <c r="G136" s="9" t="str">
        <f>IFERROR(VLOOKUP(A136,'Product Master'!D:N,11,0)*E136,"")</f>
        <v/>
      </c>
      <c r="H136" s="8">
        <f>SUMIFS('Product Master'!G:G,'Product Master'!D:D,Inventory!A136)+SUMIFS('Stock In-Out'!I:I,'Stock In-Out'!A:A,Inventory!A136)-SUMIFS('Stock In-Out'!J:J,'Stock In-Out'!A:A,Inventory!A136)</f>
        <v>0</v>
      </c>
      <c r="I136" s="8">
        <f>SUMIFS('Product Master'!H:H,'Product Master'!D:D,Inventory!A136)+SUMIFS('Stock In-Out'!K:K,'Stock In-Out'!A:A,Inventory!A136)-SUMIFS('Stock In-Out'!L:L,'Stock In-Out'!A:A,Inventory!A136)</f>
        <v>0</v>
      </c>
      <c r="J136" s="8">
        <f>SUMIFS('Product Master'!I:I,'Product Master'!D:D,Inventory!A136)+SUMIFS('Stock In-Out'!M:M,'Stock In-Out'!A:A,Inventory!A136)-SUMIFS('Stock In-Out'!N:N,'Stock In-Out'!A:A,Inventory!A136)</f>
        <v>0</v>
      </c>
      <c r="K136" s="8" t="str">
        <f>IFERROR(VLOOKUP(A136,'Product Master'!D:N,7,0),"")</f>
        <v/>
      </c>
      <c r="L136" s="6" t="str">
        <f>IFERROR(VLOOKUP(A136,'Product Master'!D133:F20132,3,0),"")</f>
        <v/>
      </c>
    </row>
    <row r="137" spans="1:12" x14ac:dyDescent="0.2">
      <c r="A137" s="1"/>
      <c r="B137" s="8">
        <f>SUMIFS('Stock In-Out'!D:D,'Stock In-Out'!B:B,"Opening Stock",'Stock In-Out'!A:A,Inventory!A137)</f>
        <v>0</v>
      </c>
      <c r="C137" s="8">
        <f>SUMIFS('Stock In-Out'!D:D,'Stock In-Out'!B:B,"In",'Stock In-Out'!A:A,Inventory!A137)</f>
        <v>0</v>
      </c>
      <c r="D137" s="8">
        <f>SUMIFS('Stock In-Out'!D:D,'Stock In-Out'!B:B,"Out",'Stock In-Out'!A:A,Inventory!A137)</f>
        <v>0</v>
      </c>
      <c r="E137" s="8">
        <f t="shared" si="3"/>
        <v>0</v>
      </c>
      <c r="F137" s="8" t="str">
        <f>IFERROR(VLOOKUP(A137,'Product Master'!D:N,10,0)*E137,"")</f>
        <v/>
      </c>
      <c r="G137" s="9" t="str">
        <f>IFERROR(VLOOKUP(A137,'Product Master'!D:N,11,0)*E137,"")</f>
        <v/>
      </c>
      <c r="H137" s="8">
        <f>SUMIFS('Product Master'!G:G,'Product Master'!D:D,Inventory!A137)+SUMIFS('Stock In-Out'!I:I,'Stock In-Out'!A:A,Inventory!A137)-SUMIFS('Stock In-Out'!J:J,'Stock In-Out'!A:A,Inventory!A137)</f>
        <v>0</v>
      </c>
      <c r="I137" s="8">
        <f>SUMIFS('Product Master'!H:H,'Product Master'!D:D,Inventory!A137)+SUMIFS('Stock In-Out'!K:K,'Stock In-Out'!A:A,Inventory!A137)-SUMIFS('Stock In-Out'!L:L,'Stock In-Out'!A:A,Inventory!A137)</f>
        <v>0</v>
      </c>
      <c r="J137" s="8">
        <f>SUMIFS('Product Master'!I:I,'Product Master'!D:D,Inventory!A137)+SUMIFS('Stock In-Out'!M:M,'Stock In-Out'!A:A,Inventory!A137)-SUMIFS('Stock In-Out'!N:N,'Stock In-Out'!A:A,Inventory!A137)</f>
        <v>0</v>
      </c>
      <c r="K137" s="8" t="str">
        <f>IFERROR(VLOOKUP(A137,'Product Master'!D:N,7,0),"")</f>
        <v/>
      </c>
      <c r="L137" s="6" t="str">
        <f>IFERROR(VLOOKUP(A137,'Product Master'!D134:F20133,3,0),"")</f>
        <v/>
      </c>
    </row>
    <row r="138" spans="1:12" x14ac:dyDescent="0.2">
      <c r="A138" s="1"/>
      <c r="B138" s="8">
        <f>SUMIFS('Stock In-Out'!D:D,'Stock In-Out'!B:B,"Opening Stock",'Stock In-Out'!A:A,Inventory!A138)</f>
        <v>0</v>
      </c>
      <c r="C138" s="8">
        <f>SUMIFS('Stock In-Out'!D:D,'Stock In-Out'!B:B,"In",'Stock In-Out'!A:A,Inventory!A138)</f>
        <v>0</v>
      </c>
      <c r="D138" s="8">
        <f>SUMIFS('Stock In-Out'!D:D,'Stock In-Out'!B:B,"Out",'Stock In-Out'!A:A,Inventory!A138)</f>
        <v>0</v>
      </c>
      <c r="E138" s="8">
        <f t="shared" si="3"/>
        <v>0</v>
      </c>
      <c r="F138" s="8" t="str">
        <f>IFERROR(VLOOKUP(A138,'Product Master'!D:N,10,0)*E138,"")</f>
        <v/>
      </c>
      <c r="G138" s="9" t="str">
        <f>IFERROR(VLOOKUP(A138,'Product Master'!D:N,11,0)*E138,"")</f>
        <v/>
      </c>
      <c r="H138" s="8">
        <f>SUMIFS('Product Master'!G:G,'Product Master'!D:D,Inventory!A138)+SUMIFS('Stock In-Out'!I:I,'Stock In-Out'!A:A,Inventory!A138)-SUMIFS('Stock In-Out'!J:J,'Stock In-Out'!A:A,Inventory!A138)</f>
        <v>0</v>
      </c>
      <c r="I138" s="8">
        <f>SUMIFS('Product Master'!H:H,'Product Master'!D:D,Inventory!A138)+SUMIFS('Stock In-Out'!K:K,'Stock In-Out'!A:A,Inventory!A138)-SUMIFS('Stock In-Out'!L:L,'Stock In-Out'!A:A,Inventory!A138)</f>
        <v>0</v>
      </c>
      <c r="J138" s="8">
        <f>SUMIFS('Product Master'!I:I,'Product Master'!D:D,Inventory!A138)+SUMIFS('Stock In-Out'!M:M,'Stock In-Out'!A:A,Inventory!A138)-SUMIFS('Stock In-Out'!N:N,'Stock In-Out'!A:A,Inventory!A138)</f>
        <v>0</v>
      </c>
      <c r="K138" s="8" t="str">
        <f>IFERROR(VLOOKUP(A138,'Product Master'!D:N,7,0),"")</f>
        <v/>
      </c>
      <c r="L138" s="6" t="str">
        <f>IFERROR(VLOOKUP(A138,'Product Master'!D135:F20134,3,0),"")</f>
        <v/>
      </c>
    </row>
    <row r="139" spans="1:12" x14ac:dyDescent="0.2">
      <c r="A139" s="1"/>
      <c r="B139" s="8">
        <f>SUMIFS('Stock In-Out'!D:D,'Stock In-Out'!B:B,"Opening Stock",'Stock In-Out'!A:A,Inventory!A139)</f>
        <v>0</v>
      </c>
      <c r="C139" s="8">
        <f>SUMIFS('Stock In-Out'!D:D,'Stock In-Out'!B:B,"In",'Stock In-Out'!A:A,Inventory!A139)</f>
        <v>0</v>
      </c>
      <c r="D139" s="8">
        <f>SUMIFS('Stock In-Out'!D:D,'Stock In-Out'!B:B,"Out",'Stock In-Out'!A:A,Inventory!A139)</f>
        <v>0</v>
      </c>
      <c r="E139" s="8">
        <f t="shared" si="3"/>
        <v>0</v>
      </c>
      <c r="F139" s="8" t="str">
        <f>IFERROR(VLOOKUP(A139,'Product Master'!D:N,10,0)*E139,"")</f>
        <v/>
      </c>
      <c r="G139" s="9" t="str">
        <f>IFERROR(VLOOKUP(A139,'Product Master'!D:N,11,0)*E139,"")</f>
        <v/>
      </c>
      <c r="H139" s="8">
        <f>SUMIFS('Product Master'!G:G,'Product Master'!D:D,Inventory!A139)+SUMIFS('Stock In-Out'!I:I,'Stock In-Out'!A:A,Inventory!A139)-SUMIFS('Stock In-Out'!J:J,'Stock In-Out'!A:A,Inventory!A139)</f>
        <v>0</v>
      </c>
      <c r="I139" s="8">
        <f>SUMIFS('Product Master'!H:H,'Product Master'!D:D,Inventory!A139)+SUMIFS('Stock In-Out'!K:K,'Stock In-Out'!A:A,Inventory!A139)-SUMIFS('Stock In-Out'!L:L,'Stock In-Out'!A:A,Inventory!A139)</f>
        <v>0</v>
      </c>
      <c r="J139" s="8">
        <f>SUMIFS('Product Master'!I:I,'Product Master'!D:D,Inventory!A139)+SUMIFS('Stock In-Out'!M:M,'Stock In-Out'!A:A,Inventory!A139)-SUMIFS('Stock In-Out'!N:N,'Stock In-Out'!A:A,Inventory!A139)</f>
        <v>0</v>
      </c>
      <c r="K139" s="8" t="str">
        <f>IFERROR(VLOOKUP(A139,'Product Master'!D:N,7,0),"")</f>
        <v/>
      </c>
      <c r="L139" s="6" t="str">
        <f>IFERROR(VLOOKUP(A139,'Product Master'!D136:F20135,3,0),"")</f>
        <v/>
      </c>
    </row>
    <row r="140" spans="1:12" x14ac:dyDescent="0.2">
      <c r="A140" s="1"/>
      <c r="B140" s="8">
        <f>SUMIFS('Stock In-Out'!D:D,'Stock In-Out'!B:B,"Opening Stock",'Stock In-Out'!A:A,Inventory!A140)</f>
        <v>0</v>
      </c>
      <c r="C140" s="8">
        <f>SUMIFS('Stock In-Out'!D:D,'Stock In-Out'!B:B,"In",'Stock In-Out'!A:A,Inventory!A140)</f>
        <v>0</v>
      </c>
      <c r="D140" s="8">
        <f>SUMIFS('Stock In-Out'!D:D,'Stock In-Out'!B:B,"Out",'Stock In-Out'!A:A,Inventory!A140)</f>
        <v>0</v>
      </c>
      <c r="E140" s="8">
        <f t="shared" si="3"/>
        <v>0</v>
      </c>
      <c r="F140" s="8" t="str">
        <f>IFERROR(VLOOKUP(A140,'Product Master'!D:N,10,0)*E140,"")</f>
        <v/>
      </c>
      <c r="G140" s="9" t="str">
        <f>IFERROR(VLOOKUP(A140,'Product Master'!D:N,11,0)*E140,"")</f>
        <v/>
      </c>
      <c r="H140" s="8">
        <f>SUMIFS('Product Master'!G:G,'Product Master'!D:D,Inventory!A140)+SUMIFS('Stock In-Out'!I:I,'Stock In-Out'!A:A,Inventory!A140)-SUMIFS('Stock In-Out'!J:J,'Stock In-Out'!A:A,Inventory!A140)</f>
        <v>0</v>
      </c>
      <c r="I140" s="8">
        <f>SUMIFS('Product Master'!H:H,'Product Master'!D:D,Inventory!A140)+SUMIFS('Stock In-Out'!K:K,'Stock In-Out'!A:A,Inventory!A140)-SUMIFS('Stock In-Out'!L:L,'Stock In-Out'!A:A,Inventory!A140)</f>
        <v>0</v>
      </c>
      <c r="J140" s="8">
        <f>SUMIFS('Product Master'!I:I,'Product Master'!D:D,Inventory!A140)+SUMIFS('Stock In-Out'!M:M,'Stock In-Out'!A:A,Inventory!A140)-SUMIFS('Stock In-Out'!N:N,'Stock In-Out'!A:A,Inventory!A140)</f>
        <v>0</v>
      </c>
      <c r="K140" s="8" t="str">
        <f>IFERROR(VLOOKUP(A140,'Product Master'!D:N,7,0),"")</f>
        <v/>
      </c>
      <c r="L140" s="6" t="str">
        <f>IFERROR(VLOOKUP(A140,'Product Master'!D137:F20136,3,0),"")</f>
        <v/>
      </c>
    </row>
    <row r="141" spans="1:12" x14ac:dyDescent="0.2">
      <c r="A141" s="1"/>
      <c r="B141" s="8">
        <f>SUMIFS('Stock In-Out'!D:D,'Stock In-Out'!B:B,"Opening Stock",'Stock In-Out'!A:A,Inventory!A141)</f>
        <v>0</v>
      </c>
      <c r="C141" s="8">
        <f>SUMIFS('Stock In-Out'!D:D,'Stock In-Out'!B:B,"In",'Stock In-Out'!A:A,Inventory!A141)</f>
        <v>0</v>
      </c>
      <c r="D141" s="8">
        <f>SUMIFS('Stock In-Out'!D:D,'Stock In-Out'!B:B,"Out",'Stock In-Out'!A:A,Inventory!A141)</f>
        <v>0</v>
      </c>
      <c r="E141" s="8">
        <f t="shared" si="3"/>
        <v>0</v>
      </c>
      <c r="F141" s="8" t="str">
        <f>IFERROR(VLOOKUP(A141,'Product Master'!D:N,10,0)*E141,"")</f>
        <v/>
      </c>
      <c r="G141" s="9" t="str">
        <f>IFERROR(VLOOKUP(A141,'Product Master'!D:N,11,0)*E141,"")</f>
        <v/>
      </c>
      <c r="H141" s="8">
        <f>SUMIFS('Product Master'!G:G,'Product Master'!D:D,Inventory!A141)+SUMIFS('Stock In-Out'!I:I,'Stock In-Out'!A:A,Inventory!A141)-SUMIFS('Stock In-Out'!J:J,'Stock In-Out'!A:A,Inventory!A141)</f>
        <v>0</v>
      </c>
      <c r="I141" s="8">
        <f>SUMIFS('Product Master'!H:H,'Product Master'!D:D,Inventory!A141)+SUMIFS('Stock In-Out'!K:K,'Stock In-Out'!A:A,Inventory!A141)-SUMIFS('Stock In-Out'!L:L,'Stock In-Out'!A:A,Inventory!A141)</f>
        <v>0</v>
      </c>
      <c r="J141" s="8">
        <f>SUMIFS('Product Master'!I:I,'Product Master'!D:D,Inventory!A141)+SUMIFS('Stock In-Out'!M:M,'Stock In-Out'!A:A,Inventory!A141)-SUMIFS('Stock In-Out'!N:N,'Stock In-Out'!A:A,Inventory!A141)</f>
        <v>0</v>
      </c>
      <c r="K141" s="8" t="str">
        <f>IFERROR(VLOOKUP(A141,'Product Master'!D:N,7,0),"")</f>
        <v/>
      </c>
      <c r="L141" s="6" t="str">
        <f>IFERROR(VLOOKUP(A141,'Product Master'!D138:F20137,3,0),"")</f>
        <v/>
      </c>
    </row>
    <row r="142" spans="1:12" x14ac:dyDescent="0.2">
      <c r="A142" s="1"/>
      <c r="B142" s="8">
        <f>SUMIFS('Stock In-Out'!D:D,'Stock In-Out'!B:B,"Opening Stock",'Stock In-Out'!A:A,Inventory!A142)</f>
        <v>0</v>
      </c>
      <c r="C142" s="8">
        <f>SUMIFS('Stock In-Out'!D:D,'Stock In-Out'!B:B,"In",'Stock In-Out'!A:A,Inventory!A142)</f>
        <v>0</v>
      </c>
      <c r="D142" s="8">
        <f>SUMIFS('Stock In-Out'!D:D,'Stock In-Out'!B:B,"Out",'Stock In-Out'!A:A,Inventory!A142)</f>
        <v>0</v>
      </c>
      <c r="E142" s="8">
        <f t="shared" si="3"/>
        <v>0</v>
      </c>
      <c r="F142" s="8" t="str">
        <f>IFERROR(VLOOKUP(A142,'Product Master'!D:N,10,0)*E142,"")</f>
        <v/>
      </c>
      <c r="G142" s="9" t="str">
        <f>IFERROR(VLOOKUP(A142,'Product Master'!D:N,11,0)*E142,"")</f>
        <v/>
      </c>
      <c r="H142" s="8">
        <f>SUMIFS('Product Master'!G:G,'Product Master'!D:D,Inventory!A142)+SUMIFS('Stock In-Out'!I:I,'Stock In-Out'!A:A,Inventory!A142)-SUMIFS('Stock In-Out'!J:J,'Stock In-Out'!A:A,Inventory!A142)</f>
        <v>0</v>
      </c>
      <c r="I142" s="8">
        <f>SUMIFS('Product Master'!H:H,'Product Master'!D:D,Inventory!A142)+SUMIFS('Stock In-Out'!K:K,'Stock In-Out'!A:A,Inventory!A142)-SUMIFS('Stock In-Out'!L:L,'Stock In-Out'!A:A,Inventory!A142)</f>
        <v>0</v>
      </c>
      <c r="J142" s="8">
        <f>SUMIFS('Product Master'!I:I,'Product Master'!D:D,Inventory!A142)+SUMIFS('Stock In-Out'!M:M,'Stock In-Out'!A:A,Inventory!A142)-SUMIFS('Stock In-Out'!N:N,'Stock In-Out'!A:A,Inventory!A142)</f>
        <v>0</v>
      </c>
      <c r="K142" s="8" t="str">
        <f>IFERROR(VLOOKUP(A142,'Product Master'!D:N,7,0),"")</f>
        <v/>
      </c>
      <c r="L142" s="6" t="str">
        <f>IFERROR(VLOOKUP(A142,'Product Master'!D139:F20138,3,0),"")</f>
        <v/>
      </c>
    </row>
    <row r="143" spans="1:12" x14ac:dyDescent="0.2">
      <c r="A143" s="1"/>
      <c r="B143" s="8">
        <f>SUMIFS('Stock In-Out'!D:D,'Stock In-Out'!B:B,"Opening Stock",'Stock In-Out'!A:A,Inventory!A143)</f>
        <v>0</v>
      </c>
      <c r="C143" s="8">
        <f>SUMIFS('Stock In-Out'!D:D,'Stock In-Out'!B:B,"In",'Stock In-Out'!A:A,Inventory!A143)</f>
        <v>0</v>
      </c>
      <c r="D143" s="8">
        <f>SUMIFS('Stock In-Out'!D:D,'Stock In-Out'!B:B,"Out",'Stock In-Out'!A:A,Inventory!A143)</f>
        <v>0</v>
      </c>
      <c r="E143" s="8">
        <f t="shared" si="3"/>
        <v>0</v>
      </c>
      <c r="F143" s="8" t="str">
        <f>IFERROR(VLOOKUP(A143,'Product Master'!D:N,10,0)*E143,"")</f>
        <v/>
      </c>
      <c r="G143" s="9" t="str">
        <f>IFERROR(VLOOKUP(A143,'Product Master'!D:N,11,0)*E143,"")</f>
        <v/>
      </c>
      <c r="H143" s="8">
        <f>SUMIFS('Product Master'!G:G,'Product Master'!D:D,Inventory!A143)+SUMIFS('Stock In-Out'!I:I,'Stock In-Out'!A:A,Inventory!A143)-SUMIFS('Stock In-Out'!J:J,'Stock In-Out'!A:A,Inventory!A143)</f>
        <v>0</v>
      </c>
      <c r="I143" s="8">
        <f>SUMIFS('Product Master'!H:H,'Product Master'!D:D,Inventory!A143)+SUMIFS('Stock In-Out'!K:K,'Stock In-Out'!A:A,Inventory!A143)-SUMIFS('Stock In-Out'!L:L,'Stock In-Out'!A:A,Inventory!A143)</f>
        <v>0</v>
      </c>
      <c r="J143" s="8">
        <f>SUMIFS('Product Master'!I:I,'Product Master'!D:D,Inventory!A143)+SUMIFS('Stock In-Out'!M:M,'Stock In-Out'!A:A,Inventory!A143)-SUMIFS('Stock In-Out'!N:N,'Stock In-Out'!A:A,Inventory!A143)</f>
        <v>0</v>
      </c>
      <c r="K143" s="8" t="str">
        <f>IFERROR(VLOOKUP(A143,'Product Master'!D:N,7,0),"")</f>
        <v/>
      </c>
      <c r="L143" s="6" t="str">
        <f>IFERROR(VLOOKUP(A143,'Product Master'!D140:F20139,3,0),"")</f>
        <v/>
      </c>
    </row>
    <row r="144" spans="1:12" x14ac:dyDescent="0.2">
      <c r="A144" s="1"/>
      <c r="B144" s="8">
        <f>SUMIFS('Stock In-Out'!D:D,'Stock In-Out'!B:B,"Opening Stock",'Stock In-Out'!A:A,Inventory!A144)</f>
        <v>0</v>
      </c>
      <c r="C144" s="8">
        <f>SUMIFS('Stock In-Out'!D:D,'Stock In-Out'!B:B,"In",'Stock In-Out'!A:A,Inventory!A144)</f>
        <v>0</v>
      </c>
      <c r="D144" s="8">
        <f>SUMIFS('Stock In-Out'!D:D,'Stock In-Out'!B:B,"Out",'Stock In-Out'!A:A,Inventory!A144)</f>
        <v>0</v>
      </c>
      <c r="E144" s="8">
        <f t="shared" si="3"/>
        <v>0</v>
      </c>
      <c r="F144" s="8" t="str">
        <f>IFERROR(VLOOKUP(A144,'Product Master'!D:N,10,0)*E144,"")</f>
        <v/>
      </c>
      <c r="G144" s="9" t="str">
        <f>IFERROR(VLOOKUP(A144,'Product Master'!D:N,11,0)*E144,"")</f>
        <v/>
      </c>
      <c r="H144" s="8">
        <f>SUMIFS('Product Master'!G:G,'Product Master'!D:D,Inventory!A144)+SUMIFS('Stock In-Out'!I:I,'Stock In-Out'!A:A,Inventory!A144)-SUMIFS('Stock In-Out'!J:J,'Stock In-Out'!A:A,Inventory!A144)</f>
        <v>0</v>
      </c>
      <c r="I144" s="8">
        <f>SUMIFS('Product Master'!H:H,'Product Master'!D:D,Inventory!A144)+SUMIFS('Stock In-Out'!K:K,'Stock In-Out'!A:A,Inventory!A144)-SUMIFS('Stock In-Out'!L:L,'Stock In-Out'!A:A,Inventory!A144)</f>
        <v>0</v>
      </c>
      <c r="J144" s="8">
        <f>SUMIFS('Product Master'!I:I,'Product Master'!D:D,Inventory!A144)+SUMIFS('Stock In-Out'!M:M,'Stock In-Out'!A:A,Inventory!A144)-SUMIFS('Stock In-Out'!N:N,'Stock In-Out'!A:A,Inventory!A144)</f>
        <v>0</v>
      </c>
      <c r="K144" s="8" t="str">
        <f>IFERROR(VLOOKUP(A144,'Product Master'!D:N,7,0),"")</f>
        <v/>
      </c>
      <c r="L144" s="6" t="str">
        <f>IFERROR(VLOOKUP(A144,'Product Master'!D141:F20140,3,0),"")</f>
        <v/>
      </c>
    </row>
    <row r="145" spans="1:12" x14ac:dyDescent="0.2">
      <c r="A145" s="1"/>
      <c r="B145" s="8">
        <f>SUMIFS('Stock In-Out'!D:D,'Stock In-Out'!B:B,"Opening Stock",'Stock In-Out'!A:A,Inventory!A145)</f>
        <v>0</v>
      </c>
      <c r="C145" s="8">
        <f>SUMIFS('Stock In-Out'!D:D,'Stock In-Out'!B:B,"In",'Stock In-Out'!A:A,Inventory!A145)</f>
        <v>0</v>
      </c>
      <c r="D145" s="8">
        <f>SUMIFS('Stock In-Out'!D:D,'Stock In-Out'!B:B,"Out",'Stock In-Out'!A:A,Inventory!A145)</f>
        <v>0</v>
      </c>
      <c r="E145" s="8">
        <f t="shared" si="3"/>
        <v>0</v>
      </c>
      <c r="F145" s="8" t="str">
        <f>IFERROR(VLOOKUP(A145,'Product Master'!D:N,10,0)*E145,"")</f>
        <v/>
      </c>
      <c r="G145" s="9" t="str">
        <f>IFERROR(VLOOKUP(A145,'Product Master'!D:N,11,0)*E145,"")</f>
        <v/>
      </c>
      <c r="H145" s="8">
        <f>SUMIFS('Product Master'!G:G,'Product Master'!D:D,Inventory!A145)+SUMIFS('Stock In-Out'!I:I,'Stock In-Out'!A:A,Inventory!A145)-SUMIFS('Stock In-Out'!J:J,'Stock In-Out'!A:A,Inventory!A145)</f>
        <v>0</v>
      </c>
      <c r="I145" s="8">
        <f>SUMIFS('Product Master'!H:H,'Product Master'!D:D,Inventory!A145)+SUMIFS('Stock In-Out'!K:K,'Stock In-Out'!A:A,Inventory!A145)-SUMIFS('Stock In-Out'!L:L,'Stock In-Out'!A:A,Inventory!A145)</f>
        <v>0</v>
      </c>
      <c r="J145" s="8">
        <f>SUMIFS('Product Master'!I:I,'Product Master'!D:D,Inventory!A145)+SUMIFS('Stock In-Out'!M:M,'Stock In-Out'!A:A,Inventory!A145)-SUMIFS('Stock In-Out'!N:N,'Stock In-Out'!A:A,Inventory!A145)</f>
        <v>0</v>
      </c>
      <c r="K145" s="8" t="str">
        <f>IFERROR(VLOOKUP(A145,'Product Master'!D:N,7,0),"")</f>
        <v/>
      </c>
      <c r="L145" s="6" t="str">
        <f>IFERROR(VLOOKUP(A145,'Product Master'!D142:F20141,3,0),"")</f>
        <v/>
      </c>
    </row>
    <row r="146" spans="1:12" x14ac:dyDescent="0.2">
      <c r="A146" s="1"/>
      <c r="B146" s="8">
        <f>SUMIFS('Stock In-Out'!D:D,'Stock In-Out'!B:B,"Opening Stock",'Stock In-Out'!A:A,Inventory!A146)</f>
        <v>0</v>
      </c>
      <c r="C146" s="8">
        <f>SUMIFS('Stock In-Out'!D:D,'Stock In-Out'!B:B,"In",'Stock In-Out'!A:A,Inventory!A146)</f>
        <v>0</v>
      </c>
      <c r="D146" s="8">
        <f>SUMIFS('Stock In-Out'!D:D,'Stock In-Out'!B:B,"Out",'Stock In-Out'!A:A,Inventory!A146)</f>
        <v>0</v>
      </c>
      <c r="E146" s="8">
        <f t="shared" si="3"/>
        <v>0</v>
      </c>
      <c r="F146" s="8" t="str">
        <f>IFERROR(VLOOKUP(A146,'Product Master'!D:N,10,0)*E146,"")</f>
        <v/>
      </c>
      <c r="G146" s="9" t="str">
        <f>IFERROR(VLOOKUP(A146,'Product Master'!D:N,11,0)*E146,"")</f>
        <v/>
      </c>
      <c r="H146" s="8">
        <f>SUMIFS('Product Master'!G:G,'Product Master'!D:D,Inventory!A146)+SUMIFS('Stock In-Out'!I:I,'Stock In-Out'!A:A,Inventory!A146)-SUMIFS('Stock In-Out'!J:J,'Stock In-Out'!A:A,Inventory!A146)</f>
        <v>0</v>
      </c>
      <c r="I146" s="8">
        <f>SUMIFS('Product Master'!H:H,'Product Master'!D:D,Inventory!A146)+SUMIFS('Stock In-Out'!K:K,'Stock In-Out'!A:A,Inventory!A146)-SUMIFS('Stock In-Out'!L:L,'Stock In-Out'!A:A,Inventory!A146)</f>
        <v>0</v>
      </c>
      <c r="J146" s="8">
        <f>SUMIFS('Product Master'!I:I,'Product Master'!D:D,Inventory!A146)+SUMIFS('Stock In-Out'!M:M,'Stock In-Out'!A:A,Inventory!A146)-SUMIFS('Stock In-Out'!N:N,'Stock In-Out'!A:A,Inventory!A146)</f>
        <v>0</v>
      </c>
      <c r="K146" s="8" t="str">
        <f>IFERROR(VLOOKUP(A146,'Product Master'!D:N,7,0),"")</f>
        <v/>
      </c>
      <c r="L146" s="6" t="str">
        <f>IFERROR(VLOOKUP(A146,'Product Master'!D143:F20142,3,0),"")</f>
        <v/>
      </c>
    </row>
    <row r="147" spans="1:12" x14ac:dyDescent="0.2">
      <c r="A147" s="1"/>
      <c r="B147" s="8">
        <f>SUMIFS('Stock In-Out'!D:D,'Stock In-Out'!B:B,"Opening Stock",'Stock In-Out'!A:A,Inventory!A147)</f>
        <v>0</v>
      </c>
      <c r="C147" s="8">
        <f>SUMIFS('Stock In-Out'!D:D,'Stock In-Out'!B:B,"In",'Stock In-Out'!A:A,Inventory!A147)</f>
        <v>0</v>
      </c>
      <c r="D147" s="8">
        <f>SUMIFS('Stock In-Out'!D:D,'Stock In-Out'!B:B,"Out",'Stock In-Out'!A:A,Inventory!A147)</f>
        <v>0</v>
      </c>
      <c r="E147" s="8">
        <f t="shared" si="3"/>
        <v>0</v>
      </c>
      <c r="F147" s="8" t="str">
        <f>IFERROR(VLOOKUP(A147,'Product Master'!D:N,10,0)*E147,"")</f>
        <v/>
      </c>
      <c r="G147" s="9" t="str">
        <f>IFERROR(VLOOKUP(A147,'Product Master'!D:N,11,0)*E147,"")</f>
        <v/>
      </c>
      <c r="H147" s="8">
        <f>SUMIFS('Product Master'!G:G,'Product Master'!D:D,Inventory!A147)+SUMIFS('Stock In-Out'!I:I,'Stock In-Out'!A:A,Inventory!A147)-SUMIFS('Stock In-Out'!J:J,'Stock In-Out'!A:A,Inventory!A147)</f>
        <v>0</v>
      </c>
      <c r="I147" s="8">
        <f>SUMIFS('Product Master'!H:H,'Product Master'!D:D,Inventory!A147)+SUMIFS('Stock In-Out'!K:K,'Stock In-Out'!A:A,Inventory!A147)-SUMIFS('Stock In-Out'!L:L,'Stock In-Out'!A:A,Inventory!A147)</f>
        <v>0</v>
      </c>
      <c r="J147" s="8">
        <f>SUMIFS('Product Master'!I:I,'Product Master'!D:D,Inventory!A147)+SUMIFS('Stock In-Out'!M:M,'Stock In-Out'!A:A,Inventory!A147)-SUMIFS('Stock In-Out'!N:N,'Stock In-Out'!A:A,Inventory!A147)</f>
        <v>0</v>
      </c>
      <c r="K147" s="8" t="str">
        <f>IFERROR(VLOOKUP(A147,'Product Master'!D:N,7,0),"")</f>
        <v/>
      </c>
      <c r="L147" s="6" t="str">
        <f>IFERROR(VLOOKUP(A147,'Product Master'!D144:F20143,3,0),"")</f>
        <v/>
      </c>
    </row>
    <row r="148" spans="1:12" x14ac:dyDescent="0.2">
      <c r="A148" s="1"/>
      <c r="B148" s="8">
        <f>SUMIFS('Stock In-Out'!D:D,'Stock In-Out'!B:B,"Opening Stock",'Stock In-Out'!A:A,Inventory!A148)</f>
        <v>0</v>
      </c>
      <c r="C148" s="8">
        <f>SUMIFS('Stock In-Out'!D:D,'Stock In-Out'!B:B,"In",'Stock In-Out'!A:A,Inventory!A148)</f>
        <v>0</v>
      </c>
      <c r="D148" s="8">
        <f>SUMIFS('Stock In-Out'!D:D,'Stock In-Out'!B:B,"Out",'Stock In-Out'!A:A,Inventory!A148)</f>
        <v>0</v>
      </c>
      <c r="E148" s="8">
        <f t="shared" si="3"/>
        <v>0</v>
      </c>
      <c r="F148" s="8" t="str">
        <f>IFERROR(VLOOKUP(A148,'Product Master'!D:N,10,0)*E148,"")</f>
        <v/>
      </c>
      <c r="G148" s="9" t="str">
        <f>IFERROR(VLOOKUP(A148,'Product Master'!D:N,11,0)*E148,"")</f>
        <v/>
      </c>
      <c r="H148" s="8">
        <f>SUMIFS('Product Master'!G:G,'Product Master'!D:D,Inventory!A148)+SUMIFS('Stock In-Out'!I:I,'Stock In-Out'!A:A,Inventory!A148)-SUMIFS('Stock In-Out'!J:J,'Stock In-Out'!A:A,Inventory!A148)</f>
        <v>0</v>
      </c>
      <c r="I148" s="8">
        <f>SUMIFS('Product Master'!H:H,'Product Master'!D:D,Inventory!A148)+SUMIFS('Stock In-Out'!K:K,'Stock In-Out'!A:A,Inventory!A148)-SUMIFS('Stock In-Out'!L:L,'Stock In-Out'!A:A,Inventory!A148)</f>
        <v>0</v>
      </c>
      <c r="J148" s="8">
        <f>SUMIFS('Product Master'!I:I,'Product Master'!D:D,Inventory!A148)+SUMIFS('Stock In-Out'!M:M,'Stock In-Out'!A:A,Inventory!A148)-SUMIFS('Stock In-Out'!N:N,'Stock In-Out'!A:A,Inventory!A148)</f>
        <v>0</v>
      </c>
      <c r="K148" s="8" t="str">
        <f>IFERROR(VLOOKUP(A148,'Product Master'!D:N,7,0),"")</f>
        <v/>
      </c>
      <c r="L148" s="6" t="str">
        <f>IFERROR(VLOOKUP(A148,'Product Master'!D145:F20144,3,0),"")</f>
        <v/>
      </c>
    </row>
    <row r="149" spans="1:12" x14ac:dyDescent="0.2">
      <c r="A149" s="1"/>
      <c r="B149" s="8">
        <f>SUMIFS('Stock In-Out'!D:D,'Stock In-Out'!B:B,"Opening Stock",'Stock In-Out'!A:A,Inventory!A149)</f>
        <v>0</v>
      </c>
      <c r="C149" s="8">
        <f>SUMIFS('Stock In-Out'!D:D,'Stock In-Out'!B:B,"In",'Stock In-Out'!A:A,Inventory!A149)</f>
        <v>0</v>
      </c>
      <c r="D149" s="8">
        <f>SUMIFS('Stock In-Out'!D:D,'Stock In-Out'!B:B,"Out",'Stock In-Out'!A:A,Inventory!A149)</f>
        <v>0</v>
      </c>
      <c r="E149" s="8">
        <f t="shared" si="3"/>
        <v>0</v>
      </c>
      <c r="F149" s="8" t="str">
        <f>IFERROR(VLOOKUP(A149,'Product Master'!D:N,10,0)*E149,"")</f>
        <v/>
      </c>
      <c r="G149" s="9" t="str">
        <f>IFERROR(VLOOKUP(A149,'Product Master'!D:N,11,0)*E149,"")</f>
        <v/>
      </c>
      <c r="H149" s="8">
        <f>SUMIFS('Product Master'!G:G,'Product Master'!D:D,Inventory!A149)+SUMIFS('Stock In-Out'!I:I,'Stock In-Out'!A:A,Inventory!A149)-SUMIFS('Stock In-Out'!J:J,'Stock In-Out'!A:A,Inventory!A149)</f>
        <v>0</v>
      </c>
      <c r="I149" s="8">
        <f>SUMIFS('Product Master'!H:H,'Product Master'!D:D,Inventory!A149)+SUMIFS('Stock In-Out'!K:K,'Stock In-Out'!A:A,Inventory!A149)-SUMIFS('Stock In-Out'!L:L,'Stock In-Out'!A:A,Inventory!A149)</f>
        <v>0</v>
      </c>
      <c r="J149" s="8">
        <f>SUMIFS('Product Master'!I:I,'Product Master'!D:D,Inventory!A149)+SUMIFS('Stock In-Out'!M:M,'Stock In-Out'!A:A,Inventory!A149)-SUMIFS('Stock In-Out'!N:N,'Stock In-Out'!A:A,Inventory!A149)</f>
        <v>0</v>
      </c>
      <c r="K149" s="8" t="str">
        <f>IFERROR(VLOOKUP(A149,'Product Master'!D:N,7,0),"")</f>
        <v/>
      </c>
      <c r="L149" s="6" t="str">
        <f>IFERROR(VLOOKUP(A149,'Product Master'!D146:F20145,3,0),"")</f>
        <v/>
      </c>
    </row>
    <row r="150" spans="1:12" x14ac:dyDescent="0.2">
      <c r="A150" s="1"/>
      <c r="B150" s="8">
        <f>SUMIFS('Stock In-Out'!D:D,'Stock In-Out'!B:B,"Opening Stock",'Stock In-Out'!A:A,Inventory!A150)</f>
        <v>0</v>
      </c>
      <c r="C150" s="8">
        <f>SUMIFS('Stock In-Out'!D:D,'Stock In-Out'!B:B,"In",'Stock In-Out'!A:A,Inventory!A150)</f>
        <v>0</v>
      </c>
      <c r="D150" s="8">
        <f>SUMIFS('Stock In-Out'!D:D,'Stock In-Out'!B:B,"Out",'Stock In-Out'!A:A,Inventory!A150)</f>
        <v>0</v>
      </c>
      <c r="E150" s="8">
        <f t="shared" si="3"/>
        <v>0</v>
      </c>
      <c r="F150" s="8" t="str">
        <f>IFERROR(VLOOKUP(A150,'Product Master'!D:N,10,0)*E150,"")</f>
        <v/>
      </c>
      <c r="G150" s="9" t="str">
        <f>IFERROR(VLOOKUP(A150,'Product Master'!D:N,11,0)*E150,"")</f>
        <v/>
      </c>
      <c r="H150" s="8">
        <f>SUMIFS('Product Master'!G:G,'Product Master'!D:D,Inventory!A150)+SUMIFS('Stock In-Out'!I:I,'Stock In-Out'!A:A,Inventory!A150)-SUMIFS('Stock In-Out'!J:J,'Stock In-Out'!A:A,Inventory!A150)</f>
        <v>0</v>
      </c>
      <c r="I150" s="8">
        <f>SUMIFS('Product Master'!H:H,'Product Master'!D:D,Inventory!A150)+SUMIFS('Stock In-Out'!K:K,'Stock In-Out'!A:A,Inventory!A150)-SUMIFS('Stock In-Out'!L:L,'Stock In-Out'!A:A,Inventory!A150)</f>
        <v>0</v>
      </c>
      <c r="J150" s="8">
        <f>SUMIFS('Product Master'!I:I,'Product Master'!D:D,Inventory!A150)+SUMIFS('Stock In-Out'!M:M,'Stock In-Out'!A:A,Inventory!A150)-SUMIFS('Stock In-Out'!N:N,'Stock In-Out'!A:A,Inventory!A150)</f>
        <v>0</v>
      </c>
      <c r="K150" s="8" t="str">
        <f>IFERROR(VLOOKUP(A150,'Product Master'!D:N,7,0),"")</f>
        <v/>
      </c>
      <c r="L150" s="6" t="str">
        <f>IFERROR(VLOOKUP(A150,'Product Master'!D147:F20146,3,0),"")</f>
        <v/>
      </c>
    </row>
    <row r="151" spans="1:12" x14ac:dyDescent="0.2">
      <c r="A151" s="1"/>
      <c r="B151" s="8">
        <f>SUMIFS('Stock In-Out'!D:D,'Stock In-Out'!B:B,"Opening Stock",'Stock In-Out'!A:A,Inventory!A151)</f>
        <v>0</v>
      </c>
      <c r="C151" s="8">
        <f>SUMIFS('Stock In-Out'!D:D,'Stock In-Out'!B:B,"In",'Stock In-Out'!A:A,Inventory!A151)</f>
        <v>0</v>
      </c>
      <c r="D151" s="8">
        <f>SUMIFS('Stock In-Out'!D:D,'Stock In-Out'!B:B,"Out",'Stock In-Out'!A:A,Inventory!A151)</f>
        <v>0</v>
      </c>
      <c r="E151" s="8">
        <f t="shared" si="3"/>
        <v>0</v>
      </c>
      <c r="F151" s="8" t="str">
        <f>IFERROR(VLOOKUP(A151,'Product Master'!D:N,10,0)*E151,"")</f>
        <v/>
      </c>
      <c r="G151" s="9" t="str">
        <f>IFERROR(VLOOKUP(A151,'Product Master'!D:N,11,0)*E151,"")</f>
        <v/>
      </c>
      <c r="H151" s="8">
        <f>SUMIFS('Product Master'!G:G,'Product Master'!D:D,Inventory!A151)+SUMIFS('Stock In-Out'!I:I,'Stock In-Out'!A:A,Inventory!A151)-SUMIFS('Stock In-Out'!J:J,'Stock In-Out'!A:A,Inventory!A151)</f>
        <v>0</v>
      </c>
      <c r="I151" s="8">
        <f>SUMIFS('Product Master'!H:H,'Product Master'!D:D,Inventory!A151)+SUMIFS('Stock In-Out'!K:K,'Stock In-Out'!A:A,Inventory!A151)-SUMIFS('Stock In-Out'!L:L,'Stock In-Out'!A:A,Inventory!A151)</f>
        <v>0</v>
      </c>
      <c r="J151" s="8">
        <f>SUMIFS('Product Master'!I:I,'Product Master'!D:D,Inventory!A151)+SUMIFS('Stock In-Out'!M:M,'Stock In-Out'!A:A,Inventory!A151)-SUMIFS('Stock In-Out'!N:N,'Stock In-Out'!A:A,Inventory!A151)</f>
        <v>0</v>
      </c>
      <c r="K151" s="8" t="str">
        <f>IFERROR(VLOOKUP(A151,'Product Master'!D:N,7,0),"")</f>
        <v/>
      </c>
      <c r="L151" s="6" t="str">
        <f>IFERROR(VLOOKUP(A151,'Product Master'!D148:F20147,3,0),"")</f>
        <v/>
      </c>
    </row>
    <row r="152" spans="1:12" x14ac:dyDescent="0.2">
      <c r="A152" s="1"/>
      <c r="B152" s="8">
        <f>SUMIFS('Stock In-Out'!D:D,'Stock In-Out'!B:B,"Opening Stock",'Stock In-Out'!A:A,Inventory!A152)</f>
        <v>0</v>
      </c>
      <c r="C152" s="8">
        <f>SUMIFS('Stock In-Out'!D:D,'Stock In-Out'!B:B,"In",'Stock In-Out'!A:A,Inventory!A152)</f>
        <v>0</v>
      </c>
      <c r="D152" s="8">
        <f>SUMIFS('Stock In-Out'!D:D,'Stock In-Out'!B:B,"Out",'Stock In-Out'!A:A,Inventory!A152)</f>
        <v>0</v>
      </c>
      <c r="E152" s="8">
        <f t="shared" si="3"/>
        <v>0</v>
      </c>
      <c r="F152" s="8" t="str">
        <f>IFERROR(VLOOKUP(A152,'Product Master'!D:N,10,0)*E152,"")</f>
        <v/>
      </c>
      <c r="G152" s="9" t="str">
        <f>IFERROR(VLOOKUP(A152,'Product Master'!D:N,11,0)*E152,"")</f>
        <v/>
      </c>
      <c r="H152" s="8">
        <f>SUMIFS('Product Master'!G:G,'Product Master'!D:D,Inventory!A152)+SUMIFS('Stock In-Out'!I:I,'Stock In-Out'!A:A,Inventory!A152)-SUMIFS('Stock In-Out'!J:J,'Stock In-Out'!A:A,Inventory!A152)</f>
        <v>0</v>
      </c>
      <c r="I152" s="8">
        <f>SUMIFS('Product Master'!H:H,'Product Master'!D:D,Inventory!A152)+SUMIFS('Stock In-Out'!K:K,'Stock In-Out'!A:A,Inventory!A152)-SUMIFS('Stock In-Out'!L:L,'Stock In-Out'!A:A,Inventory!A152)</f>
        <v>0</v>
      </c>
      <c r="J152" s="8">
        <f>SUMIFS('Product Master'!I:I,'Product Master'!D:D,Inventory!A152)+SUMIFS('Stock In-Out'!M:M,'Stock In-Out'!A:A,Inventory!A152)-SUMIFS('Stock In-Out'!N:N,'Stock In-Out'!A:A,Inventory!A152)</f>
        <v>0</v>
      </c>
      <c r="K152" s="8" t="str">
        <f>IFERROR(VLOOKUP(A152,'Product Master'!D:N,7,0),"")</f>
        <v/>
      </c>
      <c r="L152" s="6" t="str">
        <f>IFERROR(VLOOKUP(A152,'Product Master'!D149:F20148,3,0),"")</f>
        <v/>
      </c>
    </row>
    <row r="153" spans="1:12" x14ac:dyDescent="0.2">
      <c r="A153" s="1"/>
      <c r="B153" s="8">
        <f>SUMIFS('Stock In-Out'!D:D,'Stock In-Out'!B:B,"Opening Stock",'Stock In-Out'!A:A,Inventory!A153)</f>
        <v>0</v>
      </c>
      <c r="C153" s="8">
        <f>SUMIFS('Stock In-Out'!D:D,'Stock In-Out'!B:B,"In",'Stock In-Out'!A:A,Inventory!A153)</f>
        <v>0</v>
      </c>
      <c r="D153" s="8">
        <f>SUMIFS('Stock In-Out'!D:D,'Stock In-Out'!B:B,"Out",'Stock In-Out'!A:A,Inventory!A153)</f>
        <v>0</v>
      </c>
      <c r="E153" s="8">
        <f t="shared" si="3"/>
        <v>0</v>
      </c>
      <c r="F153" s="8" t="str">
        <f>IFERROR(VLOOKUP(A153,'Product Master'!D:N,10,0)*E153,"")</f>
        <v/>
      </c>
      <c r="G153" s="9" t="str">
        <f>IFERROR(VLOOKUP(A153,'Product Master'!D:N,11,0)*E153,"")</f>
        <v/>
      </c>
      <c r="H153" s="8">
        <f>SUMIFS('Product Master'!G:G,'Product Master'!D:D,Inventory!A153)+SUMIFS('Stock In-Out'!I:I,'Stock In-Out'!A:A,Inventory!A153)-SUMIFS('Stock In-Out'!J:J,'Stock In-Out'!A:A,Inventory!A153)</f>
        <v>0</v>
      </c>
      <c r="I153" s="8">
        <f>SUMIFS('Product Master'!H:H,'Product Master'!D:D,Inventory!A153)+SUMIFS('Stock In-Out'!K:K,'Stock In-Out'!A:A,Inventory!A153)-SUMIFS('Stock In-Out'!L:L,'Stock In-Out'!A:A,Inventory!A153)</f>
        <v>0</v>
      </c>
      <c r="J153" s="8">
        <f>SUMIFS('Product Master'!I:I,'Product Master'!D:D,Inventory!A153)+SUMIFS('Stock In-Out'!M:M,'Stock In-Out'!A:A,Inventory!A153)-SUMIFS('Stock In-Out'!N:N,'Stock In-Out'!A:A,Inventory!A153)</f>
        <v>0</v>
      </c>
      <c r="K153" s="8" t="str">
        <f>IFERROR(VLOOKUP(A153,'Product Master'!D:N,7,0),"")</f>
        <v/>
      </c>
      <c r="L153" s="6" t="str">
        <f>IFERROR(VLOOKUP(A153,'Product Master'!D150:F20149,3,0),"")</f>
        <v/>
      </c>
    </row>
    <row r="154" spans="1:12" x14ac:dyDescent="0.2">
      <c r="A154" s="1"/>
      <c r="B154" s="8">
        <f>SUMIFS('Stock In-Out'!D:D,'Stock In-Out'!B:B,"Opening Stock",'Stock In-Out'!A:A,Inventory!A154)</f>
        <v>0</v>
      </c>
      <c r="C154" s="8">
        <f>SUMIFS('Stock In-Out'!D:D,'Stock In-Out'!B:B,"In",'Stock In-Out'!A:A,Inventory!A154)</f>
        <v>0</v>
      </c>
      <c r="D154" s="8">
        <f>SUMIFS('Stock In-Out'!D:D,'Stock In-Out'!B:B,"Out",'Stock In-Out'!A:A,Inventory!A154)</f>
        <v>0</v>
      </c>
      <c r="E154" s="8">
        <f t="shared" si="3"/>
        <v>0</v>
      </c>
      <c r="F154" s="8" t="str">
        <f>IFERROR(VLOOKUP(A154,'Product Master'!D:N,10,0)*E154,"")</f>
        <v/>
      </c>
      <c r="G154" s="9" t="str">
        <f>IFERROR(VLOOKUP(A154,'Product Master'!D:N,11,0)*E154,"")</f>
        <v/>
      </c>
      <c r="H154" s="8">
        <f>SUMIFS('Product Master'!G:G,'Product Master'!D:D,Inventory!A154)+SUMIFS('Stock In-Out'!I:I,'Stock In-Out'!A:A,Inventory!A154)-SUMIFS('Stock In-Out'!J:J,'Stock In-Out'!A:A,Inventory!A154)</f>
        <v>0</v>
      </c>
      <c r="I154" s="8">
        <f>SUMIFS('Product Master'!H:H,'Product Master'!D:D,Inventory!A154)+SUMIFS('Stock In-Out'!K:K,'Stock In-Out'!A:A,Inventory!A154)-SUMIFS('Stock In-Out'!L:L,'Stock In-Out'!A:A,Inventory!A154)</f>
        <v>0</v>
      </c>
      <c r="J154" s="8">
        <f>SUMIFS('Product Master'!I:I,'Product Master'!D:D,Inventory!A154)+SUMIFS('Stock In-Out'!M:M,'Stock In-Out'!A:A,Inventory!A154)-SUMIFS('Stock In-Out'!N:N,'Stock In-Out'!A:A,Inventory!A154)</f>
        <v>0</v>
      </c>
      <c r="K154" s="8" t="str">
        <f>IFERROR(VLOOKUP(A154,'Product Master'!D:N,7,0),"")</f>
        <v/>
      </c>
      <c r="L154" s="6" t="str">
        <f>IFERROR(VLOOKUP(A154,'Product Master'!D151:F20150,3,0),"")</f>
        <v/>
      </c>
    </row>
    <row r="155" spans="1:12" x14ac:dyDescent="0.2">
      <c r="A155" s="1"/>
      <c r="B155" s="8">
        <f>SUMIFS('Stock In-Out'!D:D,'Stock In-Out'!B:B,"Opening Stock",'Stock In-Out'!A:A,Inventory!A155)</f>
        <v>0</v>
      </c>
      <c r="C155" s="8">
        <f>SUMIFS('Stock In-Out'!D:D,'Stock In-Out'!B:B,"In",'Stock In-Out'!A:A,Inventory!A155)</f>
        <v>0</v>
      </c>
      <c r="D155" s="8">
        <f>SUMIFS('Stock In-Out'!D:D,'Stock In-Out'!B:B,"Out",'Stock In-Out'!A:A,Inventory!A155)</f>
        <v>0</v>
      </c>
      <c r="E155" s="8">
        <f t="shared" si="3"/>
        <v>0</v>
      </c>
      <c r="F155" s="8" t="str">
        <f>IFERROR(VLOOKUP(A155,'Product Master'!D:N,10,0)*E155,"")</f>
        <v/>
      </c>
      <c r="G155" s="9" t="str">
        <f>IFERROR(VLOOKUP(A155,'Product Master'!D:N,11,0)*E155,"")</f>
        <v/>
      </c>
      <c r="H155" s="8">
        <f>SUMIFS('Product Master'!G:G,'Product Master'!D:D,Inventory!A155)+SUMIFS('Stock In-Out'!I:I,'Stock In-Out'!A:A,Inventory!A155)-SUMIFS('Stock In-Out'!J:J,'Stock In-Out'!A:A,Inventory!A155)</f>
        <v>0</v>
      </c>
      <c r="I155" s="8">
        <f>SUMIFS('Product Master'!H:H,'Product Master'!D:D,Inventory!A155)+SUMIFS('Stock In-Out'!K:K,'Stock In-Out'!A:A,Inventory!A155)-SUMIFS('Stock In-Out'!L:L,'Stock In-Out'!A:A,Inventory!A155)</f>
        <v>0</v>
      </c>
      <c r="J155" s="8">
        <f>SUMIFS('Product Master'!I:I,'Product Master'!D:D,Inventory!A155)+SUMIFS('Stock In-Out'!M:M,'Stock In-Out'!A:A,Inventory!A155)-SUMIFS('Stock In-Out'!N:N,'Stock In-Out'!A:A,Inventory!A155)</f>
        <v>0</v>
      </c>
      <c r="K155" s="8" t="str">
        <f>IFERROR(VLOOKUP(A155,'Product Master'!D:N,7,0),"")</f>
        <v/>
      </c>
      <c r="L155" s="6" t="str">
        <f>IFERROR(VLOOKUP(A155,'Product Master'!D152:F20151,3,0),"")</f>
        <v/>
      </c>
    </row>
    <row r="156" spans="1:12" x14ac:dyDescent="0.2">
      <c r="A156" s="1"/>
      <c r="B156" s="8">
        <f>SUMIFS('Stock In-Out'!D:D,'Stock In-Out'!B:B,"Opening Stock",'Stock In-Out'!A:A,Inventory!A156)</f>
        <v>0</v>
      </c>
      <c r="C156" s="8">
        <f>SUMIFS('Stock In-Out'!D:D,'Stock In-Out'!B:B,"In",'Stock In-Out'!A:A,Inventory!A156)</f>
        <v>0</v>
      </c>
      <c r="D156" s="8">
        <f>SUMIFS('Stock In-Out'!D:D,'Stock In-Out'!B:B,"Out",'Stock In-Out'!A:A,Inventory!A156)</f>
        <v>0</v>
      </c>
      <c r="E156" s="8">
        <f t="shared" si="3"/>
        <v>0</v>
      </c>
      <c r="F156" s="8" t="str">
        <f>IFERROR(VLOOKUP(A156,'Product Master'!D:N,10,0)*E156,"")</f>
        <v/>
      </c>
      <c r="G156" s="9" t="str">
        <f>IFERROR(VLOOKUP(A156,'Product Master'!D:N,11,0)*E156,"")</f>
        <v/>
      </c>
      <c r="H156" s="8">
        <f>SUMIFS('Product Master'!G:G,'Product Master'!D:D,Inventory!A156)+SUMIFS('Stock In-Out'!I:I,'Stock In-Out'!A:A,Inventory!A156)-SUMIFS('Stock In-Out'!J:J,'Stock In-Out'!A:A,Inventory!A156)</f>
        <v>0</v>
      </c>
      <c r="I156" s="8">
        <f>SUMIFS('Product Master'!H:H,'Product Master'!D:D,Inventory!A156)+SUMIFS('Stock In-Out'!K:K,'Stock In-Out'!A:A,Inventory!A156)-SUMIFS('Stock In-Out'!L:L,'Stock In-Out'!A:A,Inventory!A156)</f>
        <v>0</v>
      </c>
      <c r="J156" s="8">
        <f>SUMIFS('Product Master'!I:I,'Product Master'!D:D,Inventory!A156)+SUMIFS('Stock In-Out'!M:M,'Stock In-Out'!A:A,Inventory!A156)-SUMIFS('Stock In-Out'!N:N,'Stock In-Out'!A:A,Inventory!A156)</f>
        <v>0</v>
      </c>
      <c r="K156" s="8" t="str">
        <f>IFERROR(VLOOKUP(A156,'Product Master'!D:N,7,0),"")</f>
        <v/>
      </c>
      <c r="L156" s="6" t="str">
        <f>IFERROR(VLOOKUP(A156,'Product Master'!D153:F20152,3,0),"")</f>
        <v/>
      </c>
    </row>
    <row r="157" spans="1:12" x14ac:dyDescent="0.2">
      <c r="A157" s="1"/>
      <c r="B157" s="8">
        <f>SUMIFS('Stock In-Out'!D:D,'Stock In-Out'!B:B,"Opening Stock",'Stock In-Out'!A:A,Inventory!A157)</f>
        <v>0</v>
      </c>
      <c r="C157" s="8">
        <f>SUMIFS('Stock In-Out'!D:D,'Stock In-Out'!B:B,"In",'Stock In-Out'!A:A,Inventory!A157)</f>
        <v>0</v>
      </c>
      <c r="D157" s="8">
        <f>SUMIFS('Stock In-Out'!D:D,'Stock In-Out'!B:B,"Out",'Stock In-Out'!A:A,Inventory!A157)</f>
        <v>0</v>
      </c>
      <c r="E157" s="8">
        <f t="shared" si="3"/>
        <v>0</v>
      </c>
      <c r="F157" s="8" t="str">
        <f>IFERROR(VLOOKUP(A157,'Product Master'!D:N,10,0)*E157,"")</f>
        <v/>
      </c>
      <c r="G157" s="9" t="str">
        <f>IFERROR(VLOOKUP(A157,'Product Master'!D:N,11,0)*E157,"")</f>
        <v/>
      </c>
      <c r="H157" s="8">
        <f>SUMIFS('Product Master'!G:G,'Product Master'!D:D,Inventory!A157)+SUMIFS('Stock In-Out'!I:I,'Stock In-Out'!A:A,Inventory!A157)-SUMIFS('Stock In-Out'!J:J,'Stock In-Out'!A:A,Inventory!A157)</f>
        <v>0</v>
      </c>
      <c r="I157" s="8">
        <f>SUMIFS('Product Master'!H:H,'Product Master'!D:D,Inventory!A157)+SUMIFS('Stock In-Out'!K:K,'Stock In-Out'!A:A,Inventory!A157)-SUMIFS('Stock In-Out'!L:L,'Stock In-Out'!A:A,Inventory!A157)</f>
        <v>0</v>
      </c>
      <c r="J157" s="8">
        <f>SUMIFS('Product Master'!I:I,'Product Master'!D:D,Inventory!A157)+SUMIFS('Stock In-Out'!M:M,'Stock In-Out'!A:A,Inventory!A157)-SUMIFS('Stock In-Out'!N:N,'Stock In-Out'!A:A,Inventory!A157)</f>
        <v>0</v>
      </c>
      <c r="K157" s="8" t="str">
        <f>IFERROR(VLOOKUP(A157,'Product Master'!D:N,7,0),"")</f>
        <v/>
      </c>
      <c r="L157" s="6" t="str">
        <f>IFERROR(VLOOKUP(A157,'Product Master'!D154:F20153,3,0),"")</f>
        <v/>
      </c>
    </row>
    <row r="158" spans="1:12" x14ac:dyDescent="0.2">
      <c r="A158" s="1"/>
      <c r="B158" s="8">
        <f>SUMIFS('Stock In-Out'!D:D,'Stock In-Out'!B:B,"Opening Stock",'Stock In-Out'!A:A,Inventory!A158)</f>
        <v>0</v>
      </c>
      <c r="C158" s="8">
        <f>SUMIFS('Stock In-Out'!D:D,'Stock In-Out'!B:B,"In",'Stock In-Out'!A:A,Inventory!A158)</f>
        <v>0</v>
      </c>
      <c r="D158" s="8">
        <f>SUMIFS('Stock In-Out'!D:D,'Stock In-Out'!B:B,"Out",'Stock In-Out'!A:A,Inventory!A158)</f>
        <v>0</v>
      </c>
      <c r="E158" s="8">
        <f t="shared" si="3"/>
        <v>0</v>
      </c>
      <c r="F158" s="8" t="str">
        <f>IFERROR(VLOOKUP(A158,'Product Master'!D:N,10,0)*E158,"")</f>
        <v/>
      </c>
      <c r="G158" s="9" t="str">
        <f>IFERROR(VLOOKUP(A158,'Product Master'!D:N,11,0)*E158,"")</f>
        <v/>
      </c>
      <c r="H158" s="8">
        <f>SUMIFS('Product Master'!G:G,'Product Master'!D:D,Inventory!A158)+SUMIFS('Stock In-Out'!I:I,'Stock In-Out'!A:A,Inventory!A158)-SUMIFS('Stock In-Out'!J:J,'Stock In-Out'!A:A,Inventory!A158)</f>
        <v>0</v>
      </c>
      <c r="I158" s="8">
        <f>SUMIFS('Product Master'!H:H,'Product Master'!D:D,Inventory!A158)+SUMIFS('Stock In-Out'!K:K,'Stock In-Out'!A:A,Inventory!A158)-SUMIFS('Stock In-Out'!L:L,'Stock In-Out'!A:A,Inventory!A158)</f>
        <v>0</v>
      </c>
      <c r="J158" s="8">
        <f>SUMIFS('Product Master'!I:I,'Product Master'!D:D,Inventory!A158)+SUMIFS('Stock In-Out'!M:M,'Stock In-Out'!A:A,Inventory!A158)-SUMIFS('Stock In-Out'!N:N,'Stock In-Out'!A:A,Inventory!A158)</f>
        <v>0</v>
      </c>
      <c r="K158" s="8" t="str">
        <f>IFERROR(VLOOKUP(A158,'Product Master'!D:N,7,0),"")</f>
        <v/>
      </c>
      <c r="L158" s="6" t="str">
        <f>IFERROR(VLOOKUP(A158,'Product Master'!D155:F20154,3,0),"")</f>
        <v/>
      </c>
    </row>
    <row r="159" spans="1:12" x14ac:dyDescent="0.2">
      <c r="A159" s="1"/>
      <c r="B159" s="8">
        <f>SUMIFS('Stock In-Out'!D:D,'Stock In-Out'!B:B,"Opening Stock",'Stock In-Out'!A:A,Inventory!A159)</f>
        <v>0</v>
      </c>
      <c r="C159" s="8">
        <f>SUMIFS('Stock In-Out'!D:D,'Stock In-Out'!B:B,"In",'Stock In-Out'!A:A,Inventory!A159)</f>
        <v>0</v>
      </c>
      <c r="D159" s="8">
        <f>SUMIFS('Stock In-Out'!D:D,'Stock In-Out'!B:B,"Out",'Stock In-Out'!A:A,Inventory!A159)</f>
        <v>0</v>
      </c>
      <c r="E159" s="8">
        <f t="shared" si="3"/>
        <v>0</v>
      </c>
      <c r="F159" s="8" t="str">
        <f>IFERROR(VLOOKUP(A159,'Product Master'!D:N,10,0)*E159,"")</f>
        <v/>
      </c>
      <c r="G159" s="9" t="str">
        <f>IFERROR(VLOOKUP(A159,'Product Master'!D:N,11,0)*E159,"")</f>
        <v/>
      </c>
      <c r="H159" s="8">
        <f>SUMIFS('Product Master'!G:G,'Product Master'!D:D,Inventory!A159)+SUMIFS('Stock In-Out'!I:I,'Stock In-Out'!A:A,Inventory!A159)-SUMIFS('Stock In-Out'!J:J,'Stock In-Out'!A:A,Inventory!A159)</f>
        <v>0</v>
      </c>
      <c r="I159" s="8">
        <f>SUMIFS('Product Master'!H:H,'Product Master'!D:D,Inventory!A159)+SUMIFS('Stock In-Out'!K:K,'Stock In-Out'!A:A,Inventory!A159)-SUMIFS('Stock In-Out'!L:L,'Stock In-Out'!A:A,Inventory!A159)</f>
        <v>0</v>
      </c>
      <c r="J159" s="8">
        <f>SUMIFS('Product Master'!I:I,'Product Master'!D:D,Inventory!A159)+SUMIFS('Stock In-Out'!M:M,'Stock In-Out'!A:A,Inventory!A159)-SUMIFS('Stock In-Out'!N:N,'Stock In-Out'!A:A,Inventory!A159)</f>
        <v>0</v>
      </c>
      <c r="K159" s="8" t="str">
        <f>IFERROR(VLOOKUP(A159,'Product Master'!D:N,7,0),"")</f>
        <v/>
      </c>
      <c r="L159" s="6" t="str">
        <f>IFERROR(VLOOKUP(A159,'Product Master'!D156:F20155,3,0),"")</f>
        <v/>
      </c>
    </row>
    <row r="160" spans="1:12" x14ac:dyDescent="0.2">
      <c r="A160" s="1"/>
      <c r="B160" s="8">
        <f>SUMIFS('Stock In-Out'!D:D,'Stock In-Out'!B:B,"Opening Stock",'Stock In-Out'!A:A,Inventory!A160)</f>
        <v>0</v>
      </c>
      <c r="C160" s="8">
        <f>SUMIFS('Stock In-Out'!D:D,'Stock In-Out'!B:B,"In",'Stock In-Out'!A:A,Inventory!A160)</f>
        <v>0</v>
      </c>
      <c r="D160" s="8">
        <f>SUMIFS('Stock In-Out'!D:D,'Stock In-Out'!B:B,"Out",'Stock In-Out'!A:A,Inventory!A160)</f>
        <v>0</v>
      </c>
      <c r="E160" s="8">
        <f t="shared" si="3"/>
        <v>0</v>
      </c>
      <c r="F160" s="8" t="str">
        <f>IFERROR(VLOOKUP(A160,'Product Master'!D:N,10,0)*E160,"")</f>
        <v/>
      </c>
      <c r="G160" s="9" t="str">
        <f>IFERROR(VLOOKUP(A160,'Product Master'!D:N,11,0)*E160,"")</f>
        <v/>
      </c>
      <c r="H160" s="8">
        <f>SUMIFS('Product Master'!G:G,'Product Master'!D:D,Inventory!A160)+SUMIFS('Stock In-Out'!I:I,'Stock In-Out'!A:A,Inventory!A160)-SUMIFS('Stock In-Out'!J:J,'Stock In-Out'!A:A,Inventory!A160)</f>
        <v>0</v>
      </c>
      <c r="I160" s="8">
        <f>SUMIFS('Product Master'!H:H,'Product Master'!D:D,Inventory!A160)+SUMIFS('Stock In-Out'!K:K,'Stock In-Out'!A:A,Inventory!A160)-SUMIFS('Stock In-Out'!L:L,'Stock In-Out'!A:A,Inventory!A160)</f>
        <v>0</v>
      </c>
      <c r="J160" s="8">
        <f>SUMIFS('Product Master'!I:I,'Product Master'!D:D,Inventory!A160)+SUMIFS('Stock In-Out'!M:M,'Stock In-Out'!A:A,Inventory!A160)-SUMIFS('Stock In-Out'!N:N,'Stock In-Out'!A:A,Inventory!A160)</f>
        <v>0</v>
      </c>
      <c r="K160" s="8" t="str">
        <f>IFERROR(VLOOKUP(A160,'Product Master'!D:N,7,0),"")</f>
        <v/>
      </c>
      <c r="L160" s="6" t="str">
        <f>IFERROR(VLOOKUP(A160,'Product Master'!D157:F20156,3,0),"")</f>
        <v/>
      </c>
    </row>
    <row r="161" spans="1:12" x14ac:dyDescent="0.2">
      <c r="A161" s="1"/>
      <c r="B161" s="8">
        <f>SUMIFS('Stock In-Out'!D:D,'Stock In-Out'!B:B,"Opening Stock",'Stock In-Out'!A:A,Inventory!A161)</f>
        <v>0</v>
      </c>
      <c r="C161" s="8">
        <f>SUMIFS('Stock In-Out'!D:D,'Stock In-Out'!B:B,"In",'Stock In-Out'!A:A,Inventory!A161)</f>
        <v>0</v>
      </c>
      <c r="D161" s="8">
        <f>SUMIFS('Stock In-Out'!D:D,'Stock In-Out'!B:B,"Out",'Stock In-Out'!A:A,Inventory!A161)</f>
        <v>0</v>
      </c>
      <c r="E161" s="8">
        <f t="shared" si="3"/>
        <v>0</v>
      </c>
      <c r="F161" s="8" t="str">
        <f>IFERROR(VLOOKUP(A161,'Product Master'!D:N,10,0)*E161,"")</f>
        <v/>
      </c>
      <c r="G161" s="9" t="str">
        <f>IFERROR(VLOOKUP(A161,'Product Master'!D:N,11,0)*E161,"")</f>
        <v/>
      </c>
      <c r="H161" s="8">
        <f>SUMIFS('Product Master'!G:G,'Product Master'!D:D,Inventory!A161)+SUMIFS('Stock In-Out'!I:I,'Stock In-Out'!A:A,Inventory!A161)-SUMIFS('Stock In-Out'!J:J,'Stock In-Out'!A:A,Inventory!A161)</f>
        <v>0</v>
      </c>
      <c r="I161" s="8">
        <f>SUMIFS('Product Master'!H:H,'Product Master'!D:D,Inventory!A161)+SUMIFS('Stock In-Out'!K:K,'Stock In-Out'!A:A,Inventory!A161)-SUMIFS('Stock In-Out'!L:L,'Stock In-Out'!A:A,Inventory!A161)</f>
        <v>0</v>
      </c>
      <c r="J161" s="8">
        <f>SUMIFS('Product Master'!I:I,'Product Master'!D:D,Inventory!A161)+SUMIFS('Stock In-Out'!M:M,'Stock In-Out'!A:A,Inventory!A161)-SUMIFS('Stock In-Out'!N:N,'Stock In-Out'!A:A,Inventory!A161)</f>
        <v>0</v>
      </c>
      <c r="K161" s="8" t="str">
        <f>IFERROR(VLOOKUP(A161,'Product Master'!D:N,7,0),"")</f>
        <v/>
      </c>
      <c r="L161" s="6" t="str">
        <f>IFERROR(VLOOKUP(A161,'Product Master'!D158:F20157,3,0),"")</f>
        <v/>
      </c>
    </row>
    <row r="162" spans="1:12" x14ac:dyDescent="0.2">
      <c r="A162" s="1"/>
      <c r="B162" s="8">
        <f>SUMIFS('Stock In-Out'!D:D,'Stock In-Out'!B:B,"Opening Stock",'Stock In-Out'!A:A,Inventory!A162)</f>
        <v>0</v>
      </c>
      <c r="C162" s="8">
        <f>SUMIFS('Stock In-Out'!D:D,'Stock In-Out'!B:B,"In",'Stock In-Out'!A:A,Inventory!A162)</f>
        <v>0</v>
      </c>
      <c r="D162" s="8">
        <f>SUMIFS('Stock In-Out'!D:D,'Stock In-Out'!B:B,"Out",'Stock In-Out'!A:A,Inventory!A162)</f>
        <v>0</v>
      </c>
      <c r="E162" s="8">
        <f t="shared" si="3"/>
        <v>0</v>
      </c>
      <c r="F162" s="8" t="str">
        <f>IFERROR(VLOOKUP(A162,'Product Master'!D:N,10,0)*E162,"")</f>
        <v/>
      </c>
      <c r="G162" s="9" t="str">
        <f>IFERROR(VLOOKUP(A162,'Product Master'!D:N,11,0)*E162,"")</f>
        <v/>
      </c>
      <c r="H162" s="8">
        <f>SUMIFS('Product Master'!G:G,'Product Master'!D:D,Inventory!A162)+SUMIFS('Stock In-Out'!I:I,'Stock In-Out'!A:A,Inventory!A162)-SUMIFS('Stock In-Out'!J:J,'Stock In-Out'!A:A,Inventory!A162)</f>
        <v>0</v>
      </c>
      <c r="I162" s="8">
        <f>SUMIFS('Product Master'!H:H,'Product Master'!D:D,Inventory!A162)+SUMIFS('Stock In-Out'!K:K,'Stock In-Out'!A:A,Inventory!A162)-SUMIFS('Stock In-Out'!L:L,'Stock In-Out'!A:A,Inventory!A162)</f>
        <v>0</v>
      </c>
      <c r="J162" s="8">
        <f>SUMIFS('Product Master'!I:I,'Product Master'!D:D,Inventory!A162)+SUMIFS('Stock In-Out'!M:M,'Stock In-Out'!A:A,Inventory!A162)-SUMIFS('Stock In-Out'!N:N,'Stock In-Out'!A:A,Inventory!A162)</f>
        <v>0</v>
      </c>
      <c r="K162" s="8" t="str">
        <f>IFERROR(VLOOKUP(A162,'Product Master'!D:N,7,0),"")</f>
        <v/>
      </c>
      <c r="L162" s="6" t="str">
        <f>IFERROR(VLOOKUP(A162,'Product Master'!D159:F20158,3,0),"")</f>
        <v/>
      </c>
    </row>
    <row r="163" spans="1:12" x14ac:dyDescent="0.2">
      <c r="A163" s="1"/>
      <c r="B163" s="8">
        <f>SUMIFS('Stock In-Out'!D:D,'Stock In-Out'!B:B,"Opening Stock",'Stock In-Out'!A:A,Inventory!A163)</f>
        <v>0</v>
      </c>
      <c r="C163" s="8">
        <f>SUMIFS('Stock In-Out'!D:D,'Stock In-Out'!B:B,"In",'Stock In-Out'!A:A,Inventory!A163)</f>
        <v>0</v>
      </c>
      <c r="D163" s="8">
        <f>SUMIFS('Stock In-Out'!D:D,'Stock In-Out'!B:B,"Out",'Stock In-Out'!A:A,Inventory!A163)</f>
        <v>0</v>
      </c>
      <c r="E163" s="8">
        <f t="shared" si="3"/>
        <v>0</v>
      </c>
      <c r="F163" s="8" t="str">
        <f>IFERROR(VLOOKUP(A163,'Product Master'!D:N,10,0)*E163,"")</f>
        <v/>
      </c>
      <c r="G163" s="9" t="str">
        <f>IFERROR(VLOOKUP(A163,'Product Master'!D:N,11,0)*E163,"")</f>
        <v/>
      </c>
      <c r="H163" s="8">
        <f>SUMIFS('Product Master'!G:G,'Product Master'!D:D,Inventory!A163)+SUMIFS('Stock In-Out'!I:I,'Stock In-Out'!A:A,Inventory!A163)-SUMIFS('Stock In-Out'!J:J,'Stock In-Out'!A:A,Inventory!A163)</f>
        <v>0</v>
      </c>
      <c r="I163" s="8">
        <f>SUMIFS('Product Master'!H:H,'Product Master'!D:D,Inventory!A163)+SUMIFS('Stock In-Out'!K:K,'Stock In-Out'!A:A,Inventory!A163)-SUMIFS('Stock In-Out'!L:L,'Stock In-Out'!A:A,Inventory!A163)</f>
        <v>0</v>
      </c>
      <c r="J163" s="8">
        <f>SUMIFS('Product Master'!I:I,'Product Master'!D:D,Inventory!A163)+SUMIFS('Stock In-Out'!M:M,'Stock In-Out'!A:A,Inventory!A163)-SUMIFS('Stock In-Out'!N:N,'Stock In-Out'!A:A,Inventory!A163)</f>
        <v>0</v>
      </c>
      <c r="K163" s="8" t="str">
        <f>IFERROR(VLOOKUP(A163,'Product Master'!D:N,7,0),"")</f>
        <v/>
      </c>
      <c r="L163" s="6" t="str">
        <f>IFERROR(VLOOKUP(A163,'Product Master'!D160:F20159,3,0),"")</f>
        <v/>
      </c>
    </row>
    <row r="164" spans="1:12" x14ac:dyDescent="0.2">
      <c r="A164" s="1"/>
      <c r="B164" s="8">
        <f>SUMIFS('Stock In-Out'!D:D,'Stock In-Out'!B:B,"Opening Stock",'Stock In-Out'!A:A,Inventory!A164)</f>
        <v>0</v>
      </c>
      <c r="C164" s="8">
        <f>SUMIFS('Stock In-Out'!D:D,'Stock In-Out'!B:B,"In",'Stock In-Out'!A:A,Inventory!A164)</f>
        <v>0</v>
      </c>
      <c r="D164" s="8">
        <f>SUMIFS('Stock In-Out'!D:D,'Stock In-Out'!B:B,"Out",'Stock In-Out'!A:A,Inventory!A164)</f>
        <v>0</v>
      </c>
      <c r="E164" s="8">
        <f t="shared" si="3"/>
        <v>0</v>
      </c>
      <c r="F164" s="8" t="str">
        <f>IFERROR(VLOOKUP(A164,'Product Master'!D:N,10,0)*E164,"")</f>
        <v/>
      </c>
      <c r="G164" s="9" t="str">
        <f>IFERROR(VLOOKUP(A164,'Product Master'!D:N,11,0)*E164,"")</f>
        <v/>
      </c>
      <c r="H164" s="8">
        <f>SUMIFS('Product Master'!G:G,'Product Master'!D:D,Inventory!A164)+SUMIFS('Stock In-Out'!I:I,'Stock In-Out'!A:A,Inventory!A164)-SUMIFS('Stock In-Out'!J:J,'Stock In-Out'!A:A,Inventory!A164)</f>
        <v>0</v>
      </c>
      <c r="I164" s="8">
        <f>SUMIFS('Product Master'!H:H,'Product Master'!D:D,Inventory!A164)+SUMIFS('Stock In-Out'!K:K,'Stock In-Out'!A:A,Inventory!A164)-SUMIFS('Stock In-Out'!L:L,'Stock In-Out'!A:A,Inventory!A164)</f>
        <v>0</v>
      </c>
      <c r="J164" s="8">
        <f>SUMIFS('Product Master'!I:I,'Product Master'!D:D,Inventory!A164)+SUMIFS('Stock In-Out'!M:M,'Stock In-Out'!A:A,Inventory!A164)-SUMIFS('Stock In-Out'!N:N,'Stock In-Out'!A:A,Inventory!A164)</f>
        <v>0</v>
      </c>
      <c r="K164" s="8" t="str">
        <f>IFERROR(VLOOKUP(A164,'Product Master'!D:N,7,0),"")</f>
        <v/>
      </c>
      <c r="L164" s="6" t="str">
        <f>IFERROR(VLOOKUP(A164,'Product Master'!D161:F20160,3,0),"")</f>
        <v/>
      </c>
    </row>
    <row r="165" spans="1:12" x14ac:dyDescent="0.2">
      <c r="A165" s="1"/>
      <c r="B165" s="8">
        <f>SUMIFS('Stock In-Out'!D:D,'Stock In-Out'!B:B,"Opening Stock",'Stock In-Out'!A:A,Inventory!A165)</f>
        <v>0</v>
      </c>
      <c r="C165" s="8">
        <f>SUMIFS('Stock In-Out'!D:D,'Stock In-Out'!B:B,"In",'Stock In-Out'!A:A,Inventory!A165)</f>
        <v>0</v>
      </c>
      <c r="D165" s="8">
        <f>SUMIFS('Stock In-Out'!D:D,'Stock In-Out'!B:B,"Out",'Stock In-Out'!A:A,Inventory!A165)</f>
        <v>0</v>
      </c>
      <c r="E165" s="8">
        <f t="shared" si="3"/>
        <v>0</v>
      </c>
      <c r="F165" s="8" t="str">
        <f>IFERROR(VLOOKUP(A165,'Product Master'!D:N,10,0)*E165,"")</f>
        <v/>
      </c>
      <c r="G165" s="9" t="str">
        <f>IFERROR(VLOOKUP(A165,'Product Master'!D:N,11,0)*E165,"")</f>
        <v/>
      </c>
      <c r="H165" s="8">
        <f>SUMIFS('Product Master'!G:G,'Product Master'!D:D,Inventory!A165)+SUMIFS('Stock In-Out'!I:I,'Stock In-Out'!A:A,Inventory!A165)-SUMIFS('Stock In-Out'!J:J,'Stock In-Out'!A:A,Inventory!A165)</f>
        <v>0</v>
      </c>
      <c r="I165" s="8">
        <f>SUMIFS('Product Master'!H:H,'Product Master'!D:D,Inventory!A165)+SUMIFS('Stock In-Out'!K:K,'Stock In-Out'!A:A,Inventory!A165)-SUMIFS('Stock In-Out'!L:L,'Stock In-Out'!A:A,Inventory!A165)</f>
        <v>0</v>
      </c>
      <c r="J165" s="8">
        <f>SUMIFS('Product Master'!I:I,'Product Master'!D:D,Inventory!A165)+SUMIFS('Stock In-Out'!M:M,'Stock In-Out'!A:A,Inventory!A165)-SUMIFS('Stock In-Out'!N:N,'Stock In-Out'!A:A,Inventory!A165)</f>
        <v>0</v>
      </c>
      <c r="K165" s="8" t="str">
        <f>IFERROR(VLOOKUP(A165,'Product Master'!D:N,7,0),"")</f>
        <v/>
      </c>
      <c r="L165" s="6" t="str">
        <f>IFERROR(VLOOKUP(A165,'Product Master'!D162:F20161,3,0),"")</f>
        <v/>
      </c>
    </row>
    <row r="166" spans="1:12" x14ac:dyDescent="0.2">
      <c r="A166" s="1"/>
      <c r="B166" s="8">
        <f>SUMIFS('Stock In-Out'!D:D,'Stock In-Out'!B:B,"Opening Stock",'Stock In-Out'!A:A,Inventory!A166)</f>
        <v>0</v>
      </c>
      <c r="C166" s="8">
        <f>SUMIFS('Stock In-Out'!D:D,'Stock In-Out'!B:B,"In",'Stock In-Out'!A:A,Inventory!A166)</f>
        <v>0</v>
      </c>
      <c r="D166" s="8">
        <f>SUMIFS('Stock In-Out'!D:D,'Stock In-Out'!B:B,"Out",'Stock In-Out'!A:A,Inventory!A166)</f>
        <v>0</v>
      </c>
      <c r="E166" s="8">
        <f t="shared" si="3"/>
        <v>0</v>
      </c>
      <c r="F166" s="8" t="str">
        <f>IFERROR(VLOOKUP(A166,'Product Master'!D:N,10,0)*E166,"")</f>
        <v/>
      </c>
      <c r="G166" s="9" t="str">
        <f>IFERROR(VLOOKUP(A166,'Product Master'!D:N,11,0)*E166,"")</f>
        <v/>
      </c>
      <c r="H166" s="8">
        <f>SUMIFS('Product Master'!G:G,'Product Master'!D:D,Inventory!A166)+SUMIFS('Stock In-Out'!I:I,'Stock In-Out'!A:A,Inventory!A166)-SUMIFS('Stock In-Out'!J:J,'Stock In-Out'!A:A,Inventory!A166)</f>
        <v>0</v>
      </c>
      <c r="I166" s="8">
        <f>SUMIFS('Product Master'!H:H,'Product Master'!D:D,Inventory!A166)+SUMIFS('Stock In-Out'!K:K,'Stock In-Out'!A:A,Inventory!A166)-SUMIFS('Stock In-Out'!L:L,'Stock In-Out'!A:A,Inventory!A166)</f>
        <v>0</v>
      </c>
      <c r="J166" s="8">
        <f>SUMIFS('Product Master'!I:I,'Product Master'!D:D,Inventory!A166)+SUMIFS('Stock In-Out'!M:M,'Stock In-Out'!A:A,Inventory!A166)-SUMIFS('Stock In-Out'!N:N,'Stock In-Out'!A:A,Inventory!A166)</f>
        <v>0</v>
      </c>
      <c r="K166" s="8" t="str">
        <f>IFERROR(VLOOKUP(A166,'Product Master'!D:N,7,0),"")</f>
        <v/>
      </c>
      <c r="L166" s="6" t="str">
        <f>IFERROR(VLOOKUP(A166,'Product Master'!D163:F20162,3,0),"")</f>
        <v/>
      </c>
    </row>
    <row r="167" spans="1:12" x14ac:dyDescent="0.2">
      <c r="A167" s="1"/>
      <c r="B167" s="8">
        <f>SUMIFS('Stock In-Out'!D:D,'Stock In-Out'!B:B,"Opening Stock",'Stock In-Out'!A:A,Inventory!A167)</f>
        <v>0</v>
      </c>
      <c r="C167" s="8">
        <f>SUMIFS('Stock In-Out'!D:D,'Stock In-Out'!B:B,"In",'Stock In-Out'!A:A,Inventory!A167)</f>
        <v>0</v>
      </c>
      <c r="D167" s="8">
        <f>SUMIFS('Stock In-Out'!D:D,'Stock In-Out'!B:B,"Out",'Stock In-Out'!A:A,Inventory!A167)</f>
        <v>0</v>
      </c>
      <c r="E167" s="8">
        <f t="shared" si="3"/>
        <v>0</v>
      </c>
      <c r="F167" s="8" t="str">
        <f>IFERROR(VLOOKUP(A167,'Product Master'!D:N,10,0)*E167,"")</f>
        <v/>
      </c>
      <c r="G167" s="9" t="str">
        <f>IFERROR(VLOOKUP(A167,'Product Master'!D:N,11,0)*E167,"")</f>
        <v/>
      </c>
      <c r="H167" s="8">
        <f>SUMIFS('Product Master'!G:G,'Product Master'!D:D,Inventory!A167)+SUMIFS('Stock In-Out'!I:I,'Stock In-Out'!A:A,Inventory!A167)-SUMIFS('Stock In-Out'!J:J,'Stock In-Out'!A:A,Inventory!A167)</f>
        <v>0</v>
      </c>
      <c r="I167" s="8">
        <f>SUMIFS('Product Master'!H:H,'Product Master'!D:D,Inventory!A167)+SUMIFS('Stock In-Out'!K:K,'Stock In-Out'!A:A,Inventory!A167)-SUMIFS('Stock In-Out'!L:L,'Stock In-Out'!A:A,Inventory!A167)</f>
        <v>0</v>
      </c>
      <c r="J167" s="8">
        <f>SUMIFS('Product Master'!I:I,'Product Master'!D:D,Inventory!A167)+SUMIFS('Stock In-Out'!M:M,'Stock In-Out'!A:A,Inventory!A167)-SUMIFS('Stock In-Out'!N:N,'Stock In-Out'!A:A,Inventory!A167)</f>
        <v>0</v>
      </c>
      <c r="K167" s="8" t="str">
        <f>IFERROR(VLOOKUP(A167,'Product Master'!D:N,7,0),"")</f>
        <v/>
      </c>
      <c r="L167" s="6" t="str">
        <f>IFERROR(VLOOKUP(A167,'Product Master'!D164:F20163,3,0),"")</f>
        <v/>
      </c>
    </row>
    <row r="168" spans="1:12" x14ac:dyDescent="0.2">
      <c r="A168" s="1"/>
      <c r="B168" s="8">
        <f>SUMIFS('Stock In-Out'!D:D,'Stock In-Out'!B:B,"Opening Stock",'Stock In-Out'!A:A,Inventory!A168)</f>
        <v>0</v>
      </c>
      <c r="C168" s="8">
        <f>SUMIFS('Stock In-Out'!D:D,'Stock In-Out'!B:B,"In",'Stock In-Out'!A:A,Inventory!A168)</f>
        <v>0</v>
      </c>
      <c r="D168" s="8">
        <f>SUMIFS('Stock In-Out'!D:D,'Stock In-Out'!B:B,"Out",'Stock In-Out'!A:A,Inventory!A168)</f>
        <v>0</v>
      </c>
      <c r="E168" s="8">
        <f t="shared" si="3"/>
        <v>0</v>
      </c>
      <c r="F168" s="8" t="str">
        <f>IFERROR(VLOOKUP(A168,'Product Master'!D:N,10,0)*E168,"")</f>
        <v/>
      </c>
      <c r="G168" s="9" t="str">
        <f>IFERROR(VLOOKUP(A168,'Product Master'!D:N,11,0)*E168,"")</f>
        <v/>
      </c>
      <c r="H168" s="8">
        <f>SUMIFS('Product Master'!G:G,'Product Master'!D:D,Inventory!A168)+SUMIFS('Stock In-Out'!I:I,'Stock In-Out'!A:A,Inventory!A168)-SUMIFS('Stock In-Out'!J:J,'Stock In-Out'!A:A,Inventory!A168)</f>
        <v>0</v>
      </c>
      <c r="I168" s="8">
        <f>SUMIFS('Product Master'!H:H,'Product Master'!D:D,Inventory!A168)+SUMIFS('Stock In-Out'!K:K,'Stock In-Out'!A:A,Inventory!A168)-SUMIFS('Stock In-Out'!L:L,'Stock In-Out'!A:A,Inventory!A168)</f>
        <v>0</v>
      </c>
      <c r="J168" s="8">
        <f>SUMIFS('Product Master'!I:I,'Product Master'!D:D,Inventory!A168)+SUMIFS('Stock In-Out'!M:M,'Stock In-Out'!A:A,Inventory!A168)-SUMIFS('Stock In-Out'!N:N,'Stock In-Out'!A:A,Inventory!A168)</f>
        <v>0</v>
      </c>
      <c r="K168" s="8" t="str">
        <f>IFERROR(VLOOKUP(A168,'Product Master'!D:N,7,0),"")</f>
        <v/>
      </c>
      <c r="L168" s="6" t="str">
        <f>IFERROR(VLOOKUP(A168,'Product Master'!D165:F20164,3,0),"")</f>
        <v/>
      </c>
    </row>
    <row r="169" spans="1:12" x14ac:dyDescent="0.2">
      <c r="A169" s="1"/>
      <c r="B169" s="8">
        <f>SUMIFS('Stock In-Out'!D:D,'Stock In-Out'!B:B,"Opening Stock",'Stock In-Out'!A:A,Inventory!A169)</f>
        <v>0</v>
      </c>
      <c r="C169" s="8">
        <f>SUMIFS('Stock In-Out'!D:D,'Stock In-Out'!B:B,"In",'Stock In-Out'!A:A,Inventory!A169)</f>
        <v>0</v>
      </c>
      <c r="D169" s="8">
        <f>SUMIFS('Stock In-Out'!D:D,'Stock In-Out'!B:B,"Out",'Stock In-Out'!A:A,Inventory!A169)</f>
        <v>0</v>
      </c>
      <c r="E169" s="8">
        <f t="shared" si="3"/>
        <v>0</v>
      </c>
      <c r="F169" s="8" t="str">
        <f>IFERROR(VLOOKUP(A169,'Product Master'!D:N,10,0)*E169,"")</f>
        <v/>
      </c>
      <c r="G169" s="9" t="str">
        <f>IFERROR(VLOOKUP(A169,'Product Master'!D:N,11,0)*E169,"")</f>
        <v/>
      </c>
      <c r="H169" s="8">
        <f>SUMIFS('Product Master'!G:G,'Product Master'!D:D,Inventory!A169)+SUMIFS('Stock In-Out'!I:I,'Stock In-Out'!A:A,Inventory!A169)-SUMIFS('Stock In-Out'!J:J,'Stock In-Out'!A:A,Inventory!A169)</f>
        <v>0</v>
      </c>
      <c r="I169" s="8">
        <f>SUMIFS('Product Master'!H:H,'Product Master'!D:D,Inventory!A169)+SUMIFS('Stock In-Out'!K:K,'Stock In-Out'!A:A,Inventory!A169)-SUMIFS('Stock In-Out'!L:L,'Stock In-Out'!A:A,Inventory!A169)</f>
        <v>0</v>
      </c>
      <c r="J169" s="8">
        <f>SUMIFS('Product Master'!I:I,'Product Master'!D:D,Inventory!A169)+SUMIFS('Stock In-Out'!M:M,'Stock In-Out'!A:A,Inventory!A169)-SUMIFS('Stock In-Out'!N:N,'Stock In-Out'!A:A,Inventory!A169)</f>
        <v>0</v>
      </c>
      <c r="K169" s="8" t="str">
        <f>IFERROR(VLOOKUP(A169,'Product Master'!D:N,7,0),"")</f>
        <v/>
      </c>
      <c r="L169" s="6" t="str">
        <f>IFERROR(VLOOKUP(A169,'Product Master'!D166:F20165,3,0),"")</f>
        <v/>
      </c>
    </row>
    <row r="170" spans="1:12" x14ac:dyDescent="0.2">
      <c r="A170" s="1"/>
      <c r="B170" s="8">
        <f>SUMIFS('Stock In-Out'!D:D,'Stock In-Out'!B:B,"Opening Stock",'Stock In-Out'!A:A,Inventory!A170)</f>
        <v>0</v>
      </c>
      <c r="C170" s="8">
        <f>SUMIFS('Stock In-Out'!D:D,'Stock In-Out'!B:B,"In",'Stock In-Out'!A:A,Inventory!A170)</f>
        <v>0</v>
      </c>
      <c r="D170" s="8">
        <f>SUMIFS('Stock In-Out'!D:D,'Stock In-Out'!B:B,"Out",'Stock In-Out'!A:A,Inventory!A170)</f>
        <v>0</v>
      </c>
      <c r="E170" s="8">
        <f t="shared" si="3"/>
        <v>0</v>
      </c>
      <c r="F170" s="8" t="str">
        <f>IFERROR(VLOOKUP(A170,'Product Master'!D:N,10,0)*E170,"")</f>
        <v/>
      </c>
      <c r="G170" s="9" t="str">
        <f>IFERROR(VLOOKUP(A170,'Product Master'!D:N,11,0)*E170,"")</f>
        <v/>
      </c>
      <c r="H170" s="8">
        <f>SUMIFS('Product Master'!G:G,'Product Master'!D:D,Inventory!A170)+SUMIFS('Stock In-Out'!I:I,'Stock In-Out'!A:A,Inventory!A170)-SUMIFS('Stock In-Out'!J:J,'Stock In-Out'!A:A,Inventory!A170)</f>
        <v>0</v>
      </c>
      <c r="I170" s="8">
        <f>SUMIFS('Product Master'!H:H,'Product Master'!D:D,Inventory!A170)+SUMIFS('Stock In-Out'!K:K,'Stock In-Out'!A:A,Inventory!A170)-SUMIFS('Stock In-Out'!L:L,'Stock In-Out'!A:A,Inventory!A170)</f>
        <v>0</v>
      </c>
      <c r="J170" s="8">
        <f>SUMIFS('Product Master'!I:I,'Product Master'!D:D,Inventory!A170)+SUMIFS('Stock In-Out'!M:M,'Stock In-Out'!A:A,Inventory!A170)-SUMIFS('Stock In-Out'!N:N,'Stock In-Out'!A:A,Inventory!A170)</f>
        <v>0</v>
      </c>
      <c r="K170" s="8" t="str">
        <f>IFERROR(VLOOKUP(A170,'Product Master'!D:N,7,0),"")</f>
        <v/>
      </c>
      <c r="L170" s="6" t="str">
        <f>IFERROR(VLOOKUP(A170,'Product Master'!D167:F20166,3,0),"")</f>
        <v/>
      </c>
    </row>
    <row r="171" spans="1:12" x14ac:dyDescent="0.2">
      <c r="A171" s="1"/>
      <c r="B171" s="8">
        <f>SUMIFS('Stock In-Out'!D:D,'Stock In-Out'!B:B,"Opening Stock",'Stock In-Out'!A:A,Inventory!A171)</f>
        <v>0</v>
      </c>
      <c r="C171" s="8">
        <f>SUMIFS('Stock In-Out'!D:D,'Stock In-Out'!B:B,"In",'Stock In-Out'!A:A,Inventory!A171)</f>
        <v>0</v>
      </c>
      <c r="D171" s="8">
        <f>SUMIFS('Stock In-Out'!D:D,'Stock In-Out'!B:B,"Out",'Stock In-Out'!A:A,Inventory!A171)</f>
        <v>0</v>
      </c>
      <c r="E171" s="8">
        <f t="shared" si="3"/>
        <v>0</v>
      </c>
      <c r="F171" s="8" t="str">
        <f>IFERROR(VLOOKUP(A171,'Product Master'!D:N,10,0)*E171,"")</f>
        <v/>
      </c>
      <c r="G171" s="9" t="str">
        <f>IFERROR(VLOOKUP(A171,'Product Master'!D:N,11,0)*E171,"")</f>
        <v/>
      </c>
      <c r="H171" s="8">
        <f>SUMIFS('Product Master'!G:G,'Product Master'!D:D,Inventory!A171)+SUMIFS('Stock In-Out'!I:I,'Stock In-Out'!A:A,Inventory!A171)-SUMIFS('Stock In-Out'!J:J,'Stock In-Out'!A:A,Inventory!A171)</f>
        <v>0</v>
      </c>
      <c r="I171" s="8">
        <f>SUMIFS('Product Master'!H:H,'Product Master'!D:D,Inventory!A171)+SUMIFS('Stock In-Out'!K:K,'Stock In-Out'!A:A,Inventory!A171)-SUMIFS('Stock In-Out'!L:L,'Stock In-Out'!A:A,Inventory!A171)</f>
        <v>0</v>
      </c>
      <c r="J171" s="8">
        <f>SUMIFS('Product Master'!I:I,'Product Master'!D:D,Inventory!A171)+SUMIFS('Stock In-Out'!M:M,'Stock In-Out'!A:A,Inventory!A171)-SUMIFS('Stock In-Out'!N:N,'Stock In-Out'!A:A,Inventory!A171)</f>
        <v>0</v>
      </c>
      <c r="K171" s="8" t="str">
        <f>IFERROR(VLOOKUP(A171,'Product Master'!D:N,7,0),"")</f>
        <v/>
      </c>
      <c r="L171" s="6" t="str">
        <f>IFERROR(VLOOKUP(A171,'Product Master'!D168:F20167,3,0),"")</f>
        <v/>
      </c>
    </row>
    <row r="172" spans="1:12" x14ac:dyDescent="0.2">
      <c r="A172" s="1"/>
      <c r="B172" s="8">
        <f>SUMIFS('Stock In-Out'!D:D,'Stock In-Out'!B:B,"Opening Stock",'Stock In-Out'!A:A,Inventory!A172)</f>
        <v>0</v>
      </c>
      <c r="C172" s="8">
        <f>SUMIFS('Stock In-Out'!D:D,'Stock In-Out'!B:B,"In",'Stock In-Out'!A:A,Inventory!A172)</f>
        <v>0</v>
      </c>
      <c r="D172" s="8">
        <f>SUMIFS('Stock In-Out'!D:D,'Stock In-Out'!B:B,"Out",'Stock In-Out'!A:A,Inventory!A172)</f>
        <v>0</v>
      </c>
      <c r="E172" s="8">
        <f t="shared" si="3"/>
        <v>0</v>
      </c>
      <c r="F172" s="8" t="str">
        <f>IFERROR(VLOOKUP(A172,'Product Master'!D:N,10,0)*E172,"")</f>
        <v/>
      </c>
      <c r="G172" s="9" t="str">
        <f>IFERROR(VLOOKUP(A172,'Product Master'!D:N,11,0)*E172,"")</f>
        <v/>
      </c>
      <c r="H172" s="8">
        <f>SUMIFS('Product Master'!G:G,'Product Master'!D:D,Inventory!A172)+SUMIFS('Stock In-Out'!I:I,'Stock In-Out'!A:A,Inventory!A172)-SUMIFS('Stock In-Out'!J:J,'Stock In-Out'!A:A,Inventory!A172)</f>
        <v>0</v>
      </c>
      <c r="I172" s="8">
        <f>SUMIFS('Product Master'!H:H,'Product Master'!D:D,Inventory!A172)+SUMIFS('Stock In-Out'!K:K,'Stock In-Out'!A:A,Inventory!A172)-SUMIFS('Stock In-Out'!L:L,'Stock In-Out'!A:A,Inventory!A172)</f>
        <v>0</v>
      </c>
      <c r="J172" s="8">
        <f>SUMIFS('Product Master'!I:I,'Product Master'!D:D,Inventory!A172)+SUMIFS('Stock In-Out'!M:M,'Stock In-Out'!A:A,Inventory!A172)-SUMIFS('Stock In-Out'!N:N,'Stock In-Out'!A:A,Inventory!A172)</f>
        <v>0</v>
      </c>
      <c r="K172" s="8" t="str">
        <f>IFERROR(VLOOKUP(A172,'Product Master'!D:N,7,0),"")</f>
        <v/>
      </c>
      <c r="L172" s="6" t="str">
        <f>IFERROR(VLOOKUP(A172,'Product Master'!D169:F20168,3,0),"")</f>
        <v/>
      </c>
    </row>
    <row r="173" spans="1:12" x14ac:dyDescent="0.2">
      <c r="A173" s="1"/>
      <c r="B173" s="8">
        <f>SUMIFS('Stock In-Out'!D:D,'Stock In-Out'!B:B,"Opening Stock",'Stock In-Out'!A:A,Inventory!A173)</f>
        <v>0</v>
      </c>
      <c r="C173" s="8">
        <f>SUMIFS('Stock In-Out'!D:D,'Stock In-Out'!B:B,"In",'Stock In-Out'!A:A,Inventory!A173)</f>
        <v>0</v>
      </c>
      <c r="D173" s="8">
        <f>SUMIFS('Stock In-Out'!D:D,'Stock In-Out'!B:B,"Out",'Stock In-Out'!A:A,Inventory!A173)</f>
        <v>0</v>
      </c>
      <c r="E173" s="8">
        <f t="shared" si="3"/>
        <v>0</v>
      </c>
      <c r="F173" s="8" t="str">
        <f>IFERROR(VLOOKUP(A173,'Product Master'!D:N,10,0)*E173,"")</f>
        <v/>
      </c>
      <c r="G173" s="9" t="str">
        <f>IFERROR(VLOOKUP(A173,'Product Master'!D:N,11,0)*E173,"")</f>
        <v/>
      </c>
      <c r="H173" s="8">
        <f>SUMIFS('Product Master'!G:G,'Product Master'!D:D,Inventory!A173)+SUMIFS('Stock In-Out'!I:I,'Stock In-Out'!A:A,Inventory!A173)-SUMIFS('Stock In-Out'!J:J,'Stock In-Out'!A:A,Inventory!A173)</f>
        <v>0</v>
      </c>
      <c r="I173" s="8">
        <f>SUMIFS('Product Master'!H:H,'Product Master'!D:D,Inventory!A173)+SUMIFS('Stock In-Out'!K:K,'Stock In-Out'!A:A,Inventory!A173)-SUMIFS('Stock In-Out'!L:L,'Stock In-Out'!A:A,Inventory!A173)</f>
        <v>0</v>
      </c>
      <c r="J173" s="8">
        <f>SUMIFS('Product Master'!I:I,'Product Master'!D:D,Inventory!A173)+SUMIFS('Stock In-Out'!M:M,'Stock In-Out'!A:A,Inventory!A173)-SUMIFS('Stock In-Out'!N:N,'Stock In-Out'!A:A,Inventory!A173)</f>
        <v>0</v>
      </c>
      <c r="K173" s="8" t="str">
        <f>IFERROR(VLOOKUP(A173,'Product Master'!D:N,7,0),"")</f>
        <v/>
      </c>
      <c r="L173" s="6" t="str">
        <f>IFERROR(VLOOKUP(A173,'Product Master'!D170:F20169,3,0),"")</f>
        <v/>
      </c>
    </row>
    <row r="174" spans="1:12" x14ac:dyDescent="0.2">
      <c r="A174" s="1"/>
      <c r="B174" s="8">
        <f>SUMIFS('Stock In-Out'!D:D,'Stock In-Out'!B:B,"Opening Stock",'Stock In-Out'!A:A,Inventory!A174)</f>
        <v>0</v>
      </c>
      <c r="C174" s="8">
        <f>SUMIFS('Stock In-Out'!D:D,'Stock In-Out'!B:B,"In",'Stock In-Out'!A:A,Inventory!A174)</f>
        <v>0</v>
      </c>
      <c r="D174" s="8">
        <f>SUMIFS('Stock In-Out'!D:D,'Stock In-Out'!B:B,"Out",'Stock In-Out'!A:A,Inventory!A174)</f>
        <v>0</v>
      </c>
      <c r="E174" s="8">
        <f t="shared" si="3"/>
        <v>0</v>
      </c>
      <c r="F174" s="8" t="str">
        <f>IFERROR(VLOOKUP(A174,'Product Master'!D:N,10,0)*E174,"")</f>
        <v/>
      </c>
      <c r="G174" s="9" t="str">
        <f>IFERROR(VLOOKUP(A174,'Product Master'!D:N,11,0)*E174,"")</f>
        <v/>
      </c>
      <c r="H174" s="8">
        <f>SUMIFS('Product Master'!G:G,'Product Master'!D:D,Inventory!A174)+SUMIFS('Stock In-Out'!I:I,'Stock In-Out'!A:A,Inventory!A174)-SUMIFS('Stock In-Out'!J:J,'Stock In-Out'!A:A,Inventory!A174)</f>
        <v>0</v>
      </c>
      <c r="I174" s="8">
        <f>SUMIFS('Product Master'!H:H,'Product Master'!D:D,Inventory!A174)+SUMIFS('Stock In-Out'!K:K,'Stock In-Out'!A:A,Inventory!A174)-SUMIFS('Stock In-Out'!L:L,'Stock In-Out'!A:A,Inventory!A174)</f>
        <v>0</v>
      </c>
      <c r="J174" s="8">
        <f>SUMIFS('Product Master'!I:I,'Product Master'!D:D,Inventory!A174)+SUMIFS('Stock In-Out'!M:M,'Stock In-Out'!A:A,Inventory!A174)-SUMIFS('Stock In-Out'!N:N,'Stock In-Out'!A:A,Inventory!A174)</f>
        <v>0</v>
      </c>
      <c r="K174" s="8" t="str">
        <f>IFERROR(VLOOKUP(A174,'Product Master'!D:N,7,0),"")</f>
        <v/>
      </c>
      <c r="L174" s="6" t="str">
        <f>IFERROR(VLOOKUP(A174,'Product Master'!D171:F20170,3,0),"")</f>
        <v/>
      </c>
    </row>
    <row r="175" spans="1:12" x14ac:dyDescent="0.2">
      <c r="A175" s="1"/>
      <c r="B175" s="8">
        <f>SUMIFS('Stock In-Out'!D:D,'Stock In-Out'!B:B,"Opening Stock",'Stock In-Out'!A:A,Inventory!A175)</f>
        <v>0</v>
      </c>
      <c r="C175" s="8">
        <f>SUMIFS('Stock In-Out'!D:D,'Stock In-Out'!B:B,"In",'Stock In-Out'!A:A,Inventory!A175)</f>
        <v>0</v>
      </c>
      <c r="D175" s="8">
        <f>SUMIFS('Stock In-Out'!D:D,'Stock In-Out'!B:B,"Out",'Stock In-Out'!A:A,Inventory!A175)</f>
        <v>0</v>
      </c>
      <c r="E175" s="8">
        <f t="shared" si="3"/>
        <v>0</v>
      </c>
      <c r="F175" s="8" t="str">
        <f>IFERROR(VLOOKUP(A175,'Product Master'!D:N,10,0)*E175,"")</f>
        <v/>
      </c>
      <c r="G175" s="9" t="str">
        <f>IFERROR(VLOOKUP(A175,'Product Master'!D:N,11,0)*E175,"")</f>
        <v/>
      </c>
      <c r="H175" s="8">
        <f>SUMIFS('Product Master'!G:G,'Product Master'!D:D,Inventory!A175)+SUMIFS('Stock In-Out'!I:I,'Stock In-Out'!A:A,Inventory!A175)-SUMIFS('Stock In-Out'!J:J,'Stock In-Out'!A:A,Inventory!A175)</f>
        <v>0</v>
      </c>
      <c r="I175" s="8">
        <f>SUMIFS('Product Master'!H:H,'Product Master'!D:D,Inventory!A175)+SUMIFS('Stock In-Out'!K:K,'Stock In-Out'!A:A,Inventory!A175)-SUMIFS('Stock In-Out'!L:L,'Stock In-Out'!A:A,Inventory!A175)</f>
        <v>0</v>
      </c>
      <c r="J175" s="8">
        <f>SUMIFS('Product Master'!I:I,'Product Master'!D:D,Inventory!A175)+SUMIFS('Stock In-Out'!M:M,'Stock In-Out'!A:A,Inventory!A175)-SUMIFS('Stock In-Out'!N:N,'Stock In-Out'!A:A,Inventory!A175)</f>
        <v>0</v>
      </c>
      <c r="K175" s="8" t="str">
        <f>IFERROR(VLOOKUP(A175,'Product Master'!D:N,7,0),"")</f>
        <v/>
      </c>
      <c r="L175" s="6" t="str">
        <f>IFERROR(VLOOKUP(A175,'Product Master'!D172:F20171,3,0),"")</f>
        <v/>
      </c>
    </row>
    <row r="176" spans="1:12" x14ac:dyDescent="0.2">
      <c r="A176" s="1"/>
      <c r="B176" s="8">
        <f>SUMIFS('Stock In-Out'!D:D,'Stock In-Out'!B:B,"Opening Stock",'Stock In-Out'!A:A,Inventory!A176)</f>
        <v>0</v>
      </c>
      <c r="C176" s="8">
        <f>SUMIFS('Stock In-Out'!D:D,'Stock In-Out'!B:B,"In",'Stock In-Out'!A:A,Inventory!A176)</f>
        <v>0</v>
      </c>
      <c r="D176" s="8">
        <f>SUMIFS('Stock In-Out'!D:D,'Stock In-Out'!B:B,"Out",'Stock In-Out'!A:A,Inventory!A176)</f>
        <v>0</v>
      </c>
      <c r="E176" s="8">
        <f t="shared" si="3"/>
        <v>0</v>
      </c>
      <c r="F176" s="8" t="str">
        <f>IFERROR(VLOOKUP(A176,'Product Master'!D:N,10,0)*E176,"")</f>
        <v/>
      </c>
      <c r="G176" s="9" t="str">
        <f>IFERROR(VLOOKUP(A176,'Product Master'!D:N,11,0)*E176,"")</f>
        <v/>
      </c>
      <c r="H176" s="8">
        <f>SUMIFS('Product Master'!G:G,'Product Master'!D:D,Inventory!A176)+SUMIFS('Stock In-Out'!I:I,'Stock In-Out'!A:A,Inventory!A176)-SUMIFS('Stock In-Out'!J:J,'Stock In-Out'!A:A,Inventory!A176)</f>
        <v>0</v>
      </c>
      <c r="I176" s="8">
        <f>SUMIFS('Product Master'!H:H,'Product Master'!D:D,Inventory!A176)+SUMIFS('Stock In-Out'!K:K,'Stock In-Out'!A:A,Inventory!A176)-SUMIFS('Stock In-Out'!L:L,'Stock In-Out'!A:A,Inventory!A176)</f>
        <v>0</v>
      </c>
      <c r="J176" s="8">
        <f>SUMIFS('Product Master'!I:I,'Product Master'!D:D,Inventory!A176)+SUMIFS('Stock In-Out'!M:M,'Stock In-Out'!A:A,Inventory!A176)-SUMIFS('Stock In-Out'!N:N,'Stock In-Out'!A:A,Inventory!A176)</f>
        <v>0</v>
      </c>
      <c r="K176" s="8" t="str">
        <f>IFERROR(VLOOKUP(A176,'Product Master'!D:N,7,0),"")</f>
        <v/>
      </c>
      <c r="L176" s="6" t="str">
        <f>IFERROR(VLOOKUP(A176,'Product Master'!D173:F20172,3,0),"")</f>
        <v/>
      </c>
    </row>
    <row r="177" spans="1:12" x14ac:dyDescent="0.2">
      <c r="A177" s="1"/>
      <c r="B177" s="8">
        <f>SUMIFS('Stock In-Out'!D:D,'Stock In-Out'!B:B,"Opening Stock",'Stock In-Out'!A:A,Inventory!A177)</f>
        <v>0</v>
      </c>
      <c r="C177" s="8">
        <f>SUMIFS('Stock In-Out'!D:D,'Stock In-Out'!B:B,"In",'Stock In-Out'!A:A,Inventory!A177)</f>
        <v>0</v>
      </c>
      <c r="D177" s="8">
        <f>SUMIFS('Stock In-Out'!D:D,'Stock In-Out'!B:B,"Out",'Stock In-Out'!A:A,Inventory!A177)</f>
        <v>0</v>
      </c>
      <c r="E177" s="8">
        <f t="shared" si="3"/>
        <v>0</v>
      </c>
      <c r="F177" s="8" t="str">
        <f>IFERROR(VLOOKUP(A177,'Product Master'!D:N,10,0)*E177,"")</f>
        <v/>
      </c>
      <c r="G177" s="9" t="str">
        <f>IFERROR(VLOOKUP(A177,'Product Master'!D:N,11,0)*E177,"")</f>
        <v/>
      </c>
      <c r="H177" s="8">
        <f>SUMIFS('Product Master'!G:G,'Product Master'!D:D,Inventory!A177)+SUMIFS('Stock In-Out'!I:I,'Stock In-Out'!A:A,Inventory!A177)-SUMIFS('Stock In-Out'!J:J,'Stock In-Out'!A:A,Inventory!A177)</f>
        <v>0</v>
      </c>
      <c r="I177" s="8">
        <f>SUMIFS('Product Master'!H:H,'Product Master'!D:D,Inventory!A177)+SUMIFS('Stock In-Out'!K:K,'Stock In-Out'!A:A,Inventory!A177)-SUMIFS('Stock In-Out'!L:L,'Stock In-Out'!A:A,Inventory!A177)</f>
        <v>0</v>
      </c>
      <c r="J177" s="8">
        <f>SUMIFS('Product Master'!I:I,'Product Master'!D:D,Inventory!A177)+SUMIFS('Stock In-Out'!M:M,'Stock In-Out'!A:A,Inventory!A177)-SUMIFS('Stock In-Out'!N:N,'Stock In-Out'!A:A,Inventory!A177)</f>
        <v>0</v>
      </c>
      <c r="K177" s="8" t="str">
        <f>IFERROR(VLOOKUP(A177,'Product Master'!D:N,7,0),"")</f>
        <v/>
      </c>
      <c r="L177" s="6" t="str">
        <f>IFERROR(VLOOKUP(A177,'Product Master'!D174:F20173,3,0),"")</f>
        <v/>
      </c>
    </row>
    <row r="178" spans="1:12" x14ac:dyDescent="0.2">
      <c r="A178" s="1"/>
      <c r="B178" s="8">
        <f>SUMIFS('Stock In-Out'!D:D,'Stock In-Out'!B:B,"Opening Stock",'Stock In-Out'!A:A,Inventory!A178)</f>
        <v>0</v>
      </c>
      <c r="C178" s="8">
        <f>SUMIFS('Stock In-Out'!D:D,'Stock In-Out'!B:B,"In",'Stock In-Out'!A:A,Inventory!A178)</f>
        <v>0</v>
      </c>
      <c r="D178" s="8">
        <f>SUMIFS('Stock In-Out'!D:D,'Stock In-Out'!B:B,"Out",'Stock In-Out'!A:A,Inventory!A178)</f>
        <v>0</v>
      </c>
      <c r="E178" s="8">
        <f t="shared" si="3"/>
        <v>0</v>
      </c>
      <c r="F178" s="8" t="str">
        <f>IFERROR(VLOOKUP(A178,'Product Master'!D:N,10,0)*E178,"")</f>
        <v/>
      </c>
      <c r="G178" s="9" t="str">
        <f>IFERROR(VLOOKUP(A178,'Product Master'!D:N,11,0)*E178,"")</f>
        <v/>
      </c>
      <c r="H178" s="8">
        <f>SUMIFS('Product Master'!G:G,'Product Master'!D:D,Inventory!A178)+SUMIFS('Stock In-Out'!I:I,'Stock In-Out'!A:A,Inventory!A178)-SUMIFS('Stock In-Out'!J:J,'Stock In-Out'!A:A,Inventory!A178)</f>
        <v>0</v>
      </c>
      <c r="I178" s="8">
        <f>SUMIFS('Product Master'!H:H,'Product Master'!D:D,Inventory!A178)+SUMIFS('Stock In-Out'!K:K,'Stock In-Out'!A:A,Inventory!A178)-SUMIFS('Stock In-Out'!L:L,'Stock In-Out'!A:A,Inventory!A178)</f>
        <v>0</v>
      </c>
      <c r="J178" s="8">
        <f>SUMIFS('Product Master'!I:I,'Product Master'!D:D,Inventory!A178)+SUMIFS('Stock In-Out'!M:M,'Stock In-Out'!A:A,Inventory!A178)-SUMIFS('Stock In-Out'!N:N,'Stock In-Out'!A:A,Inventory!A178)</f>
        <v>0</v>
      </c>
      <c r="K178" s="8" t="str">
        <f>IFERROR(VLOOKUP(A178,'Product Master'!D:N,7,0),"")</f>
        <v/>
      </c>
      <c r="L178" s="6" t="str">
        <f>IFERROR(VLOOKUP(A178,'Product Master'!D175:F20174,3,0),"")</f>
        <v/>
      </c>
    </row>
    <row r="179" spans="1:12" x14ac:dyDescent="0.2">
      <c r="A179" s="1"/>
      <c r="B179" s="8">
        <f>SUMIFS('Stock In-Out'!D:D,'Stock In-Out'!B:B,"Opening Stock",'Stock In-Out'!A:A,Inventory!A179)</f>
        <v>0</v>
      </c>
      <c r="C179" s="8">
        <f>SUMIFS('Stock In-Out'!D:D,'Stock In-Out'!B:B,"In",'Stock In-Out'!A:A,Inventory!A179)</f>
        <v>0</v>
      </c>
      <c r="D179" s="8">
        <f>SUMIFS('Stock In-Out'!D:D,'Stock In-Out'!B:B,"Out",'Stock In-Out'!A:A,Inventory!A179)</f>
        <v>0</v>
      </c>
      <c r="E179" s="8">
        <f t="shared" si="3"/>
        <v>0</v>
      </c>
      <c r="F179" s="8" t="str">
        <f>IFERROR(VLOOKUP(A179,'Product Master'!D:N,10,0)*E179,"")</f>
        <v/>
      </c>
      <c r="G179" s="9" t="str">
        <f>IFERROR(VLOOKUP(A179,'Product Master'!D:N,11,0)*E179,"")</f>
        <v/>
      </c>
      <c r="H179" s="8">
        <f>SUMIFS('Product Master'!G:G,'Product Master'!D:D,Inventory!A179)+SUMIFS('Stock In-Out'!I:I,'Stock In-Out'!A:A,Inventory!A179)-SUMIFS('Stock In-Out'!J:J,'Stock In-Out'!A:A,Inventory!A179)</f>
        <v>0</v>
      </c>
      <c r="I179" s="8">
        <f>SUMIFS('Product Master'!H:H,'Product Master'!D:D,Inventory!A179)+SUMIFS('Stock In-Out'!K:K,'Stock In-Out'!A:A,Inventory!A179)-SUMIFS('Stock In-Out'!L:L,'Stock In-Out'!A:A,Inventory!A179)</f>
        <v>0</v>
      </c>
      <c r="J179" s="8">
        <f>SUMIFS('Product Master'!I:I,'Product Master'!D:D,Inventory!A179)+SUMIFS('Stock In-Out'!M:M,'Stock In-Out'!A:A,Inventory!A179)-SUMIFS('Stock In-Out'!N:N,'Stock In-Out'!A:A,Inventory!A179)</f>
        <v>0</v>
      </c>
      <c r="K179" s="8" t="str">
        <f>IFERROR(VLOOKUP(A179,'Product Master'!D:N,7,0),"")</f>
        <v/>
      </c>
      <c r="L179" s="6" t="str">
        <f>IFERROR(VLOOKUP(A179,'Product Master'!D176:F20175,3,0),"")</f>
        <v/>
      </c>
    </row>
    <row r="180" spans="1:12" x14ac:dyDescent="0.2">
      <c r="A180" s="1"/>
      <c r="B180" s="8">
        <f>SUMIFS('Stock In-Out'!D:D,'Stock In-Out'!B:B,"Opening Stock",'Stock In-Out'!A:A,Inventory!A180)</f>
        <v>0</v>
      </c>
      <c r="C180" s="8">
        <f>SUMIFS('Stock In-Out'!D:D,'Stock In-Out'!B:B,"In",'Stock In-Out'!A:A,Inventory!A180)</f>
        <v>0</v>
      </c>
      <c r="D180" s="8">
        <f>SUMIFS('Stock In-Out'!D:D,'Stock In-Out'!B:B,"Out",'Stock In-Out'!A:A,Inventory!A180)</f>
        <v>0</v>
      </c>
      <c r="E180" s="8">
        <f t="shared" si="3"/>
        <v>0</v>
      </c>
      <c r="F180" s="8" t="str">
        <f>IFERROR(VLOOKUP(A180,'Product Master'!D:N,10,0)*E180,"")</f>
        <v/>
      </c>
      <c r="G180" s="9" t="str">
        <f>IFERROR(VLOOKUP(A180,'Product Master'!D:N,11,0)*E180,"")</f>
        <v/>
      </c>
      <c r="H180" s="8">
        <f>SUMIFS('Product Master'!G:G,'Product Master'!D:D,Inventory!A180)+SUMIFS('Stock In-Out'!I:I,'Stock In-Out'!A:A,Inventory!A180)-SUMIFS('Stock In-Out'!J:J,'Stock In-Out'!A:A,Inventory!A180)</f>
        <v>0</v>
      </c>
      <c r="I180" s="8">
        <f>SUMIFS('Product Master'!H:H,'Product Master'!D:D,Inventory!A180)+SUMIFS('Stock In-Out'!K:K,'Stock In-Out'!A:A,Inventory!A180)-SUMIFS('Stock In-Out'!L:L,'Stock In-Out'!A:A,Inventory!A180)</f>
        <v>0</v>
      </c>
      <c r="J180" s="8">
        <f>SUMIFS('Product Master'!I:I,'Product Master'!D:D,Inventory!A180)+SUMIFS('Stock In-Out'!M:M,'Stock In-Out'!A:A,Inventory!A180)-SUMIFS('Stock In-Out'!N:N,'Stock In-Out'!A:A,Inventory!A180)</f>
        <v>0</v>
      </c>
      <c r="K180" s="8" t="str">
        <f>IFERROR(VLOOKUP(A180,'Product Master'!D:N,7,0),"")</f>
        <v/>
      </c>
      <c r="L180" s="6" t="str">
        <f>IFERROR(VLOOKUP(A180,'Product Master'!D177:F20176,3,0),"")</f>
        <v/>
      </c>
    </row>
    <row r="181" spans="1:12" x14ac:dyDescent="0.2">
      <c r="A181" s="1"/>
      <c r="B181" s="8">
        <f>SUMIFS('Stock In-Out'!D:D,'Stock In-Out'!B:B,"Opening Stock",'Stock In-Out'!A:A,Inventory!A181)</f>
        <v>0</v>
      </c>
      <c r="C181" s="8">
        <f>SUMIFS('Stock In-Out'!D:D,'Stock In-Out'!B:B,"In",'Stock In-Out'!A:A,Inventory!A181)</f>
        <v>0</v>
      </c>
      <c r="D181" s="8">
        <f>SUMIFS('Stock In-Out'!D:D,'Stock In-Out'!B:B,"Out",'Stock In-Out'!A:A,Inventory!A181)</f>
        <v>0</v>
      </c>
      <c r="E181" s="8">
        <f t="shared" si="3"/>
        <v>0</v>
      </c>
      <c r="F181" s="8" t="str">
        <f>IFERROR(VLOOKUP(A181,'Product Master'!D:N,10,0)*E181,"")</f>
        <v/>
      </c>
      <c r="G181" s="9" t="str">
        <f>IFERROR(VLOOKUP(A181,'Product Master'!D:N,11,0)*E181,"")</f>
        <v/>
      </c>
      <c r="H181" s="8">
        <f>SUMIFS('Product Master'!G:G,'Product Master'!D:D,Inventory!A181)+SUMIFS('Stock In-Out'!I:I,'Stock In-Out'!A:A,Inventory!A181)-SUMIFS('Stock In-Out'!J:J,'Stock In-Out'!A:A,Inventory!A181)</f>
        <v>0</v>
      </c>
      <c r="I181" s="8">
        <f>SUMIFS('Product Master'!H:H,'Product Master'!D:D,Inventory!A181)+SUMIFS('Stock In-Out'!K:K,'Stock In-Out'!A:A,Inventory!A181)-SUMIFS('Stock In-Out'!L:L,'Stock In-Out'!A:A,Inventory!A181)</f>
        <v>0</v>
      </c>
      <c r="J181" s="8">
        <f>SUMIFS('Product Master'!I:I,'Product Master'!D:D,Inventory!A181)+SUMIFS('Stock In-Out'!M:M,'Stock In-Out'!A:A,Inventory!A181)-SUMIFS('Stock In-Out'!N:N,'Stock In-Out'!A:A,Inventory!A181)</f>
        <v>0</v>
      </c>
      <c r="K181" s="8" t="str">
        <f>IFERROR(VLOOKUP(A181,'Product Master'!D:N,7,0),"")</f>
        <v/>
      </c>
      <c r="L181" s="6" t="str">
        <f>IFERROR(VLOOKUP(A181,'Product Master'!D178:F20177,3,0),"")</f>
        <v/>
      </c>
    </row>
    <row r="182" spans="1:12" x14ac:dyDescent="0.2">
      <c r="A182" s="1"/>
      <c r="B182" s="8">
        <f>SUMIFS('Stock In-Out'!D:D,'Stock In-Out'!B:B,"Opening Stock",'Stock In-Out'!A:A,Inventory!A182)</f>
        <v>0</v>
      </c>
      <c r="C182" s="8">
        <f>SUMIFS('Stock In-Out'!D:D,'Stock In-Out'!B:B,"In",'Stock In-Out'!A:A,Inventory!A182)</f>
        <v>0</v>
      </c>
      <c r="D182" s="8">
        <f>SUMIFS('Stock In-Out'!D:D,'Stock In-Out'!B:B,"Out",'Stock In-Out'!A:A,Inventory!A182)</f>
        <v>0</v>
      </c>
      <c r="E182" s="8">
        <f t="shared" si="3"/>
        <v>0</v>
      </c>
      <c r="F182" s="8" t="str">
        <f>IFERROR(VLOOKUP(A182,'Product Master'!D:N,10,0)*E182,"")</f>
        <v/>
      </c>
      <c r="G182" s="9" t="str">
        <f>IFERROR(VLOOKUP(A182,'Product Master'!D:N,11,0)*E182,"")</f>
        <v/>
      </c>
      <c r="H182" s="8">
        <f>SUMIFS('Product Master'!G:G,'Product Master'!D:D,Inventory!A182)+SUMIFS('Stock In-Out'!I:I,'Stock In-Out'!A:A,Inventory!A182)-SUMIFS('Stock In-Out'!J:J,'Stock In-Out'!A:A,Inventory!A182)</f>
        <v>0</v>
      </c>
      <c r="I182" s="8">
        <f>SUMIFS('Product Master'!H:H,'Product Master'!D:D,Inventory!A182)+SUMIFS('Stock In-Out'!K:K,'Stock In-Out'!A:A,Inventory!A182)-SUMIFS('Stock In-Out'!L:L,'Stock In-Out'!A:A,Inventory!A182)</f>
        <v>0</v>
      </c>
      <c r="J182" s="8">
        <f>SUMIFS('Product Master'!I:I,'Product Master'!D:D,Inventory!A182)+SUMIFS('Stock In-Out'!M:M,'Stock In-Out'!A:A,Inventory!A182)-SUMIFS('Stock In-Out'!N:N,'Stock In-Out'!A:A,Inventory!A182)</f>
        <v>0</v>
      </c>
      <c r="K182" s="8" t="str">
        <f>IFERROR(VLOOKUP(A182,'Product Master'!D:N,7,0),"")</f>
        <v/>
      </c>
      <c r="L182" s="6" t="str">
        <f>IFERROR(VLOOKUP(A182,'Product Master'!D179:F20178,3,0),"")</f>
        <v/>
      </c>
    </row>
    <row r="183" spans="1:12" x14ac:dyDescent="0.2">
      <c r="A183" s="1"/>
      <c r="B183" s="8">
        <f>SUMIFS('Stock In-Out'!D:D,'Stock In-Out'!B:B,"Opening Stock",'Stock In-Out'!A:A,Inventory!A183)</f>
        <v>0</v>
      </c>
      <c r="C183" s="8">
        <f>SUMIFS('Stock In-Out'!D:D,'Stock In-Out'!B:B,"In",'Stock In-Out'!A:A,Inventory!A183)</f>
        <v>0</v>
      </c>
      <c r="D183" s="8">
        <f>SUMIFS('Stock In-Out'!D:D,'Stock In-Out'!B:B,"Out",'Stock In-Out'!A:A,Inventory!A183)</f>
        <v>0</v>
      </c>
      <c r="E183" s="8">
        <f t="shared" si="3"/>
        <v>0</v>
      </c>
      <c r="F183" s="8" t="str">
        <f>IFERROR(VLOOKUP(A183,'Product Master'!D:N,10,0)*E183,"")</f>
        <v/>
      </c>
      <c r="G183" s="9" t="str">
        <f>IFERROR(VLOOKUP(A183,'Product Master'!D:N,11,0)*E183,"")</f>
        <v/>
      </c>
      <c r="H183" s="8">
        <f>SUMIFS('Product Master'!G:G,'Product Master'!D:D,Inventory!A183)+SUMIFS('Stock In-Out'!I:I,'Stock In-Out'!A:A,Inventory!A183)-SUMIFS('Stock In-Out'!J:J,'Stock In-Out'!A:A,Inventory!A183)</f>
        <v>0</v>
      </c>
      <c r="I183" s="8">
        <f>SUMIFS('Product Master'!H:H,'Product Master'!D:D,Inventory!A183)+SUMIFS('Stock In-Out'!K:K,'Stock In-Out'!A:A,Inventory!A183)-SUMIFS('Stock In-Out'!L:L,'Stock In-Out'!A:A,Inventory!A183)</f>
        <v>0</v>
      </c>
      <c r="J183" s="8">
        <f>SUMIFS('Product Master'!I:I,'Product Master'!D:D,Inventory!A183)+SUMIFS('Stock In-Out'!M:M,'Stock In-Out'!A:A,Inventory!A183)-SUMIFS('Stock In-Out'!N:N,'Stock In-Out'!A:A,Inventory!A183)</f>
        <v>0</v>
      </c>
      <c r="K183" s="8" t="str">
        <f>IFERROR(VLOOKUP(A183,'Product Master'!D:N,7,0),"")</f>
        <v/>
      </c>
      <c r="L183" s="6" t="str">
        <f>IFERROR(VLOOKUP(A183,'Product Master'!D180:F20179,3,0),"")</f>
        <v/>
      </c>
    </row>
    <row r="184" spans="1:12" x14ac:dyDescent="0.2">
      <c r="A184" s="1"/>
      <c r="B184" s="8">
        <f>SUMIFS('Stock In-Out'!D:D,'Stock In-Out'!B:B,"Opening Stock",'Stock In-Out'!A:A,Inventory!A184)</f>
        <v>0</v>
      </c>
      <c r="C184" s="8">
        <f>SUMIFS('Stock In-Out'!D:D,'Stock In-Out'!B:B,"In",'Stock In-Out'!A:A,Inventory!A184)</f>
        <v>0</v>
      </c>
      <c r="D184" s="8">
        <f>SUMIFS('Stock In-Out'!D:D,'Stock In-Out'!B:B,"Out",'Stock In-Out'!A:A,Inventory!A184)</f>
        <v>0</v>
      </c>
      <c r="E184" s="8">
        <f t="shared" si="3"/>
        <v>0</v>
      </c>
      <c r="F184" s="8" t="str">
        <f>IFERROR(VLOOKUP(A184,'Product Master'!D:N,10,0)*E184,"")</f>
        <v/>
      </c>
      <c r="G184" s="9" t="str">
        <f>IFERROR(VLOOKUP(A184,'Product Master'!D:N,11,0)*E184,"")</f>
        <v/>
      </c>
      <c r="H184" s="8">
        <f>SUMIFS('Product Master'!G:G,'Product Master'!D:D,Inventory!A184)+SUMIFS('Stock In-Out'!I:I,'Stock In-Out'!A:A,Inventory!A184)-SUMIFS('Stock In-Out'!J:J,'Stock In-Out'!A:A,Inventory!A184)</f>
        <v>0</v>
      </c>
      <c r="I184" s="8">
        <f>SUMIFS('Product Master'!H:H,'Product Master'!D:D,Inventory!A184)+SUMIFS('Stock In-Out'!K:K,'Stock In-Out'!A:A,Inventory!A184)-SUMIFS('Stock In-Out'!L:L,'Stock In-Out'!A:A,Inventory!A184)</f>
        <v>0</v>
      </c>
      <c r="J184" s="8">
        <f>SUMIFS('Product Master'!I:I,'Product Master'!D:D,Inventory!A184)+SUMIFS('Stock In-Out'!M:M,'Stock In-Out'!A:A,Inventory!A184)-SUMIFS('Stock In-Out'!N:N,'Stock In-Out'!A:A,Inventory!A184)</f>
        <v>0</v>
      </c>
      <c r="K184" s="8" t="str">
        <f>IFERROR(VLOOKUP(A184,'Product Master'!D:N,7,0),"")</f>
        <v/>
      </c>
      <c r="L184" s="6" t="str">
        <f>IFERROR(VLOOKUP(A184,'Product Master'!D181:F20180,3,0),"")</f>
        <v/>
      </c>
    </row>
    <row r="185" spans="1:12" x14ac:dyDescent="0.2">
      <c r="A185" s="1"/>
      <c r="B185" s="8">
        <f>SUMIFS('Stock In-Out'!D:D,'Stock In-Out'!B:B,"Opening Stock",'Stock In-Out'!A:A,Inventory!A185)</f>
        <v>0</v>
      </c>
      <c r="C185" s="8">
        <f>SUMIFS('Stock In-Out'!D:D,'Stock In-Out'!B:B,"In",'Stock In-Out'!A:A,Inventory!A185)</f>
        <v>0</v>
      </c>
      <c r="D185" s="8">
        <f>SUMIFS('Stock In-Out'!D:D,'Stock In-Out'!B:B,"Out",'Stock In-Out'!A:A,Inventory!A185)</f>
        <v>0</v>
      </c>
      <c r="E185" s="8">
        <f t="shared" si="3"/>
        <v>0</v>
      </c>
      <c r="F185" s="8" t="str">
        <f>IFERROR(VLOOKUP(A185,'Product Master'!D:N,10,0)*E185,"")</f>
        <v/>
      </c>
      <c r="G185" s="9" t="str">
        <f>IFERROR(VLOOKUP(A185,'Product Master'!D:N,11,0)*E185,"")</f>
        <v/>
      </c>
      <c r="H185" s="8">
        <f>SUMIFS('Product Master'!G:G,'Product Master'!D:D,Inventory!A185)+SUMIFS('Stock In-Out'!I:I,'Stock In-Out'!A:A,Inventory!A185)-SUMIFS('Stock In-Out'!J:J,'Stock In-Out'!A:A,Inventory!A185)</f>
        <v>0</v>
      </c>
      <c r="I185" s="8">
        <f>SUMIFS('Product Master'!H:H,'Product Master'!D:D,Inventory!A185)+SUMIFS('Stock In-Out'!K:K,'Stock In-Out'!A:A,Inventory!A185)-SUMIFS('Stock In-Out'!L:L,'Stock In-Out'!A:A,Inventory!A185)</f>
        <v>0</v>
      </c>
      <c r="J185" s="8">
        <f>SUMIFS('Product Master'!I:I,'Product Master'!D:D,Inventory!A185)+SUMIFS('Stock In-Out'!M:M,'Stock In-Out'!A:A,Inventory!A185)-SUMIFS('Stock In-Out'!N:N,'Stock In-Out'!A:A,Inventory!A185)</f>
        <v>0</v>
      </c>
      <c r="K185" s="8" t="str">
        <f>IFERROR(VLOOKUP(A185,'Product Master'!D:N,7,0),"")</f>
        <v/>
      </c>
      <c r="L185" s="6" t="str">
        <f>IFERROR(VLOOKUP(A185,'Product Master'!D182:F20181,3,0),"")</f>
        <v/>
      </c>
    </row>
    <row r="186" spans="1:12" x14ac:dyDescent="0.2">
      <c r="A186" s="1"/>
      <c r="B186" s="8">
        <f>SUMIFS('Stock In-Out'!D:D,'Stock In-Out'!B:B,"Opening Stock",'Stock In-Out'!A:A,Inventory!A186)</f>
        <v>0</v>
      </c>
      <c r="C186" s="8">
        <f>SUMIFS('Stock In-Out'!D:D,'Stock In-Out'!B:B,"In",'Stock In-Out'!A:A,Inventory!A186)</f>
        <v>0</v>
      </c>
      <c r="D186" s="8">
        <f>SUMIFS('Stock In-Out'!D:D,'Stock In-Out'!B:B,"Out",'Stock In-Out'!A:A,Inventory!A186)</f>
        <v>0</v>
      </c>
      <c r="E186" s="8">
        <f t="shared" si="3"/>
        <v>0</v>
      </c>
      <c r="F186" s="8" t="str">
        <f>IFERROR(VLOOKUP(A186,'Product Master'!D:N,10,0)*E186,"")</f>
        <v/>
      </c>
      <c r="G186" s="9" t="str">
        <f>IFERROR(VLOOKUP(A186,'Product Master'!D:N,11,0)*E186,"")</f>
        <v/>
      </c>
      <c r="H186" s="8">
        <f>SUMIFS('Product Master'!G:G,'Product Master'!D:D,Inventory!A186)+SUMIFS('Stock In-Out'!I:I,'Stock In-Out'!A:A,Inventory!A186)-SUMIFS('Stock In-Out'!J:J,'Stock In-Out'!A:A,Inventory!A186)</f>
        <v>0</v>
      </c>
      <c r="I186" s="8">
        <f>SUMIFS('Product Master'!H:H,'Product Master'!D:D,Inventory!A186)+SUMIFS('Stock In-Out'!K:K,'Stock In-Out'!A:A,Inventory!A186)-SUMIFS('Stock In-Out'!L:L,'Stock In-Out'!A:A,Inventory!A186)</f>
        <v>0</v>
      </c>
      <c r="J186" s="8">
        <f>SUMIFS('Product Master'!I:I,'Product Master'!D:D,Inventory!A186)+SUMIFS('Stock In-Out'!M:M,'Stock In-Out'!A:A,Inventory!A186)-SUMIFS('Stock In-Out'!N:N,'Stock In-Out'!A:A,Inventory!A186)</f>
        <v>0</v>
      </c>
      <c r="K186" s="8" t="str">
        <f>IFERROR(VLOOKUP(A186,'Product Master'!D:N,7,0),"")</f>
        <v/>
      </c>
      <c r="L186" s="6" t="str">
        <f>IFERROR(VLOOKUP(A186,'Product Master'!D183:F20182,3,0),"")</f>
        <v/>
      </c>
    </row>
    <row r="187" spans="1:12" x14ac:dyDescent="0.2">
      <c r="A187" s="1"/>
      <c r="B187" s="8">
        <f>SUMIFS('Stock In-Out'!D:D,'Stock In-Out'!B:B,"Opening Stock",'Stock In-Out'!A:A,Inventory!A187)</f>
        <v>0</v>
      </c>
      <c r="C187" s="8">
        <f>SUMIFS('Stock In-Out'!D:D,'Stock In-Out'!B:B,"In",'Stock In-Out'!A:A,Inventory!A187)</f>
        <v>0</v>
      </c>
      <c r="D187" s="8">
        <f>SUMIFS('Stock In-Out'!D:D,'Stock In-Out'!B:B,"Out",'Stock In-Out'!A:A,Inventory!A187)</f>
        <v>0</v>
      </c>
      <c r="E187" s="8">
        <f t="shared" si="3"/>
        <v>0</v>
      </c>
      <c r="F187" s="8" t="str">
        <f>IFERROR(VLOOKUP(A187,'Product Master'!D:N,10,0)*E187,"")</f>
        <v/>
      </c>
      <c r="G187" s="9" t="str">
        <f>IFERROR(VLOOKUP(A187,'Product Master'!D:N,11,0)*E187,"")</f>
        <v/>
      </c>
      <c r="H187" s="8">
        <f>SUMIFS('Product Master'!G:G,'Product Master'!D:D,Inventory!A187)+SUMIFS('Stock In-Out'!I:I,'Stock In-Out'!A:A,Inventory!A187)-SUMIFS('Stock In-Out'!J:J,'Stock In-Out'!A:A,Inventory!A187)</f>
        <v>0</v>
      </c>
      <c r="I187" s="8">
        <f>SUMIFS('Product Master'!H:H,'Product Master'!D:D,Inventory!A187)+SUMIFS('Stock In-Out'!K:K,'Stock In-Out'!A:A,Inventory!A187)-SUMIFS('Stock In-Out'!L:L,'Stock In-Out'!A:A,Inventory!A187)</f>
        <v>0</v>
      </c>
      <c r="J187" s="8">
        <f>SUMIFS('Product Master'!I:I,'Product Master'!D:D,Inventory!A187)+SUMIFS('Stock In-Out'!M:M,'Stock In-Out'!A:A,Inventory!A187)-SUMIFS('Stock In-Out'!N:N,'Stock In-Out'!A:A,Inventory!A187)</f>
        <v>0</v>
      </c>
      <c r="K187" s="8" t="str">
        <f>IFERROR(VLOOKUP(A187,'Product Master'!D:N,7,0),"")</f>
        <v/>
      </c>
      <c r="L187" s="6" t="str">
        <f>IFERROR(VLOOKUP(A187,'Product Master'!D184:F20183,3,0),"")</f>
        <v/>
      </c>
    </row>
    <row r="188" spans="1:12" x14ac:dyDescent="0.2">
      <c r="A188" s="1"/>
      <c r="B188" s="8">
        <f>SUMIFS('Stock In-Out'!D:D,'Stock In-Out'!B:B,"Opening Stock",'Stock In-Out'!A:A,Inventory!A188)</f>
        <v>0</v>
      </c>
      <c r="C188" s="8">
        <f>SUMIFS('Stock In-Out'!D:D,'Stock In-Out'!B:B,"In",'Stock In-Out'!A:A,Inventory!A188)</f>
        <v>0</v>
      </c>
      <c r="D188" s="8">
        <f>SUMIFS('Stock In-Out'!D:D,'Stock In-Out'!B:B,"Out",'Stock In-Out'!A:A,Inventory!A188)</f>
        <v>0</v>
      </c>
      <c r="E188" s="8">
        <f t="shared" si="3"/>
        <v>0</v>
      </c>
      <c r="F188" s="8" t="str">
        <f>IFERROR(VLOOKUP(A188,'Product Master'!D:N,10,0)*E188,"")</f>
        <v/>
      </c>
      <c r="G188" s="9" t="str">
        <f>IFERROR(VLOOKUP(A188,'Product Master'!D:N,11,0)*E188,"")</f>
        <v/>
      </c>
      <c r="H188" s="8">
        <f>SUMIFS('Product Master'!G:G,'Product Master'!D:D,Inventory!A188)+SUMIFS('Stock In-Out'!I:I,'Stock In-Out'!A:A,Inventory!A188)-SUMIFS('Stock In-Out'!J:J,'Stock In-Out'!A:A,Inventory!A188)</f>
        <v>0</v>
      </c>
      <c r="I188" s="8">
        <f>SUMIFS('Product Master'!H:H,'Product Master'!D:D,Inventory!A188)+SUMIFS('Stock In-Out'!K:K,'Stock In-Out'!A:A,Inventory!A188)-SUMIFS('Stock In-Out'!L:L,'Stock In-Out'!A:A,Inventory!A188)</f>
        <v>0</v>
      </c>
      <c r="J188" s="8">
        <f>SUMIFS('Product Master'!I:I,'Product Master'!D:D,Inventory!A188)+SUMIFS('Stock In-Out'!M:M,'Stock In-Out'!A:A,Inventory!A188)-SUMIFS('Stock In-Out'!N:N,'Stock In-Out'!A:A,Inventory!A188)</f>
        <v>0</v>
      </c>
      <c r="K188" s="8" t="str">
        <f>IFERROR(VLOOKUP(A188,'Product Master'!D:N,7,0),"")</f>
        <v/>
      </c>
      <c r="L188" s="6" t="str">
        <f>IFERROR(VLOOKUP(A188,'Product Master'!D185:F20184,3,0),"")</f>
        <v/>
      </c>
    </row>
    <row r="189" spans="1:12" x14ac:dyDescent="0.2">
      <c r="A189" s="1"/>
      <c r="B189" s="8">
        <f>SUMIFS('Stock In-Out'!D:D,'Stock In-Out'!B:B,"Opening Stock",'Stock In-Out'!A:A,Inventory!A189)</f>
        <v>0</v>
      </c>
      <c r="C189" s="8">
        <f>SUMIFS('Stock In-Out'!D:D,'Stock In-Out'!B:B,"In",'Stock In-Out'!A:A,Inventory!A189)</f>
        <v>0</v>
      </c>
      <c r="D189" s="8">
        <f>SUMIFS('Stock In-Out'!D:D,'Stock In-Out'!B:B,"Out",'Stock In-Out'!A:A,Inventory!A189)</f>
        <v>0</v>
      </c>
      <c r="E189" s="8">
        <f t="shared" si="3"/>
        <v>0</v>
      </c>
      <c r="F189" s="8" t="str">
        <f>IFERROR(VLOOKUP(A189,'Product Master'!D:N,10,0)*E189,"")</f>
        <v/>
      </c>
      <c r="G189" s="9" t="str">
        <f>IFERROR(VLOOKUP(A189,'Product Master'!D:N,11,0)*E189,"")</f>
        <v/>
      </c>
      <c r="H189" s="8">
        <f>SUMIFS('Product Master'!G:G,'Product Master'!D:D,Inventory!A189)+SUMIFS('Stock In-Out'!I:I,'Stock In-Out'!A:A,Inventory!A189)-SUMIFS('Stock In-Out'!J:J,'Stock In-Out'!A:A,Inventory!A189)</f>
        <v>0</v>
      </c>
      <c r="I189" s="8">
        <f>SUMIFS('Product Master'!H:H,'Product Master'!D:D,Inventory!A189)+SUMIFS('Stock In-Out'!K:K,'Stock In-Out'!A:A,Inventory!A189)-SUMIFS('Stock In-Out'!L:L,'Stock In-Out'!A:A,Inventory!A189)</f>
        <v>0</v>
      </c>
      <c r="J189" s="8">
        <f>SUMIFS('Product Master'!I:I,'Product Master'!D:D,Inventory!A189)+SUMIFS('Stock In-Out'!M:M,'Stock In-Out'!A:A,Inventory!A189)-SUMIFS('Stock In-Out'!N:N,'Stock In-Out'!A:A,Inventory!A189)</f>
        <v>0</v>
      </c>
      <c r="K189" s="8" t="str">
        <f>IFERROR(VLOOKUP(A189,'Product Master'!D:N,7,0),"")</f>
        <v/>
      </c>
      <c r="L189" s="6" t="str">
        <f>IFERROR(VLOOKUP(A189,'Product Master'!D186:F20185,3,0),"")</f>
        <v/>
      </c>
    </row>
    <row r="190" spans="1:12" x14ac:dyDescent="0.2">
      <c r="A190" s="1"/>
      <c r="B190" s="8">
        <f>SUMIFS('Stock In-Out'!D:D,'Stock In-Out'!B:B,"Opening Stock",'Stock In-Out'!A:A,Inventory!A190)</f>
        <v>0</v>
      </c>
      <c r="C190" s="8">
        <f>SUMIFS('Stock In-Out'!D:D,'Stock In-Out'!B:B,"In",'Stock In-Out'!A:A,Inventory!A190)</f>
        <v>0</v>
      </c>
      <c r="D190" s="8">
        <f>SUMIFS('Stock In-Out'!D:D,'Stock In-Out'!B:B,"Out",'Stock In-Out'!A:A,Inventory!A190)</f>
        <v>0</v>
      </c>
      <c r="E190" s="8">
        <f t="shared" si="3"/>
        <v>0</v>
      </c>
      <c r="F190" s="8" t="str">
        <f>IFERROR(VLOOKUP(A190,'Product Master'!D:N,10,0)*E190,"")</f>
        <v/>
      </c>
      <c r="G190" s="9" t="str">
        <f>IFERROR(VLOOKUP(A190,'Product Master'!D:N,11,0)*E190,"")</f>
        <v/>
      </c>
      <c r="H190" s="8">
        <f>SUMIFS('Product Master'!G:G,'Product Master'!D:D,Inventory!A190)+SUMIFS('Stock In-Out'!I:I,'Stock In-Out'!A:A,Inventory!A190)-SUMIFS('Stock In-Out'!J:J,'Stock In-Out'!A:A,Inventory!A190)</f>
        <v>0</v>
      </c>
      <c r="I190" s="8">
        <f>SUMIFS('Product Master'!H:H,'Product Master'!D:D,Inventory!A190)+SUMIFS('Stock In-Out'!K:K,'Stock In-Out'!A:A,Inventory!A190)-SUMIFS('Stock In-Out'!L:L,'Stock In-Out'!A:A,Inventory!A190)</f>
        <v>0</v>
      </c>
      <c r="J190" s="8">
        <f>SUMIFS('Product Master'!I:I,'Product Master'!D:D,Inventory!A190)+SUMIFS('Stock In-Out'!M:M,'Stock In-Out'!A:A,Inventory!A190)-SUMIFS('Stock In-Out'!N:N,'Stock In-Out'!A:A,Inventory!A190)</f>
        <v>0</v>
      </c>
      <c r="K190" s="8" t="str">
        <f>IFERROR(VLOOKUP(A190,'Product Master'!D:N,7,0),"")</f>
        <v/>
      </c>
      <c r="L190" s="6" t="str">
        <f>IFERROR(VLOOKUP(A190,'Product Master'!D187:F20186,3,0),"")</f>
        <v/>
      </c>
    </row>
    <row r="191" spans="1:12" x14ac:dyDescent="0.2">
      <c r="A191" s="1"/>
      <c r="B191" s="8">
        <f>SUMIFS('Stock In-Out'!D:D,'Stock In-Out'!B:B,"Opening Stock",'Stock In-Out'!A:A,Inventory!A191)</f>
        <v>0</v>
      </c>
      <c r="C191" s="8">
        <f>SUMIFS('Stock In-Out'!D:D,'Stock In-Out'!B:B,"In",'Stock In-Out'!A:A,Inventory!A191)</f>
        <v>0</v>
      </c>
      <c r="D191" s="8">
        <f>SUMIFS('Stock In-Out'!D:D,'Stock In-Out'!B:B,"Out",'Stock In-Out'!A:A,Inventory!A191)</f>
        <v>0</v>
      </c>
      <c r="E191" s="8">
        <f t="shared" si="3"/>
        <v>0</v>
      </c>
      <c r="F191" s="8" t="str">
        <f>IFERROR(VLOOKUP(A191,'Product Master'!D:N,10,0)*E191,"")</f>
        <v/>
      </c>
      <c r="G191" s="9" t="str">
        <f>IFERROR(VLOOKUP(A191,'Product Master'!D:N,11,0)*E191,"")</f>
        <v/>
      </c>
      <c r="H191" s="8">
        <f>SUMIFS('Product Master'!G:G,'Product Master'!D:D,Inventory!A191)+SUMIFS('Stock In-Out'!I:I,'Stock In-Out'!A:A,Inventory!A191)-SUMIFS('Stock In-Out'!J:J,'Stock In-Out'!A:A,Inventory!A191)</f>
        <v>0</v>
      </c>
      <c r="I191" s="8">
        <f>SUMIFS('Product Master'!H:H,'Product Master'!D:D,Inventory!A191)+SUMIFS('Stock In-Out'!K:K,'Stock In-Out'!A:A,Inventory!A191)-SUMIFS('Stock In-Out'!L:L,'Stock In-Out'!A:A,Inventory!A191)</f>
        <v>0</v>
      </c>
      <c r="J191" s="8">
        <f>SUMIFS('Product Master'!I:I,'Product Master'!D:D,Inventory!A191)+SUMIFS('Stock In-Out'!M:M,'Stock In-Out'!A:A,Inventory!A191)-SUMIFS('Stock In-Out'!N:N,'Stock In-Out'!A:A,Inventory!A191)</f>
        <v>0</v>
      </c>
      <c r="K191" s="8" t="str">
        <f>IFERROR(VLOOKUP(A191,'Product Master'!D:N,7,0),"")</f>
        <v/>
      </c>
      <c r="L191" s="6" t="str">
        <f>IFERROR(VLOOKUP(A191,'Product Master'!D188:F20187,3,0),"")</f>
        <v/>
      </c>
    </row>
    <row r="192" spans="1:12" x14ac:dyDescent="0.2">
      <c r="A192" s="1"/>
      <c r="B192" s="8">
        <f>SUMIFS('Stock In-Out'!D:D,'Stock In-Out'!B:B,"Opening Stock",'Stock In-Out'!A:A,Inventory!A192)</f>
        <v>0</v>
      </c>
      <c r="C192" s="8">
        <f>SUMIFS('Stock In-Out'!D:D,'Stock In-Out'!B:B,"In",'Stock In-Out'!A:A,Inventory!A192)</f>
        <v>0</v>
      </c>
      <c r="D192" s="8">
        <f>SUMIFS('Stock In-Out'!D:D,'Stock In-Out'!B:B,"Out",'Stock In-Out'!A:A,Inventory!A192)</f>
        <v>0</v>
      </c>
      <c r="E192" s="8">
        <f t="shared" si="3"/>
        <v>0</v>
      </c>
      <c r="F192" s="8" t="str">
        <f>IFERROR(VLOOKUP(A192,'Product Master'!D:N,10,0)*E192,"")</f>
        <v/>
      </c>
      <c r="G192" s="9" t="str">
        <f>IFERROR(VLOOKUP(A192,'Product Master'!D:N,11,0)*E192,"")</f>
        <v/>
      </c>
      <c r="H192" s="8">
        <f>SUMIFS('Product Master'!G:G,'Product Master'!D:D,Inventory!A192)+SUMIFS('Stock In-Out'!I:I,'Stock In-Out'!A:A,Inventory!A192)-SUMIFS('Stock In-Out'!J:J,'Stock In-Out'!A:A,Inventory!A192)</f>
        <v>0</v>
      </c>
      <c r="I192" s="8">
        <f>SUMIFS('Product Master'!H:H,'Product Master'!D:D,Inventory!A192)+SUMIFS('Stock In-Out'!K:K,'Stock In-Out'!A:A,Inventory!A192)-SUMIFS('Stock In-Out'!L:L,'Stock In-Out'!A:A,Inventory!A192)</f>
        <v>0</v>
      </c>
      <c r="J192" s="8">
        <f>SUMIFS('Product Master'!I:I,'Product Master'!D:D,Inventory!A192)+SUMIFS('Stock In-Out'!M:M,'Stock In-Out'!A:A,Inventory!A192)-SUMIFS('Stock In-Out'!N:N,'Stock In-Out'!A:A,Inventory!A192)</f>
        <v>0</v>
      </c>
      <c r="K192" s="8" t="str">
        <f>IFERROR(VLOOKUP(A192,'Product Master'!D:N,7,0),"")</f>
        <v/>
      </c>
      <c r="L192" s="6" t="str">
        <f>IFERROR(VLOOKUP(A192,'Product Master'!D189:F20188,3,0),"")</f>
        <v/>
      </c>
    </row>
    <row r="193" spans="1:12" x14ac:dyDescent="0.2">
      <c r="A193" s="1"/>
      <c r="B193" s="8">
        <f>SUMIFS('Stock In-Out'!D:D,'Stock In-Out'!B:B,"Opening Stock",'Stock In-Out'!A:A,Inventory!A193)</f>
        <v>0</v>
      </c>
      <c r="C193" s="8">
        <f>SUMIFS('Stock In-Out'!D:D,'Stock In-Out'!B:B,"In",'Stock In-Out'!A:A,Inventory!A193)</f>
        <v>0</v>
      </c>
      <c r="D193" s="8">
        <f>SUMIFS('Stock In-Out'!D:D,'Stock In-Out'!B:B,"Out",'Stock In-Out'!A:A,Inventory!A193)</f>
        <v>0</v>
      </c>
      <c r="E193" s="8">
        <f t="shared" si="3"/>
        <v>0</v>
      </c>
      <c r="F193" s="8" t="str">
        <f>IFERROR(VLOOKUP(A193,'Product Master'!D:N,10,0)*E193,"")</f>
        <v/>
      </c>
      <c r="G193" s="9" t="str">
        <f>IFERROR(VLOOKUP(A193,'Product Master'!D:N,11,0)*E193,"")</f>
        <v/>
      </c>
      <c r="H193" s="8">
        <f>SUMIFS('Product Master'!G:G,'Product Master'!D:D,Inventory!A193)+SUMIFS('Stock In-Out'!I:I,'Stock In-Out'!A:A,Inventory!A193)-SUMIFS('Stock In-Out'!J:J,'Stock In-Out'!A:A,Inventory!A193)</f>
        <v>0</v>
      </c>
      <c r="I193" s="8">
        <f>SUMIFS('Product Master'!H:H,'Product Master'!D:D,Inventory!A193)+SUMIFS('Stock In-Out'!K:K,'Stock In-Out'!A:A,Inventory!A193)-SUMIFS('Stock In-Out'!L:L,'Stock In-Out'!A:A,Inventory!A193)</f>
        <v>0</v>
      </c>
      <c r="J193" s="8">
        <f>SUMIFS('Product Master'!I:I,'Product Master'!D:D,Inventory!A193)+SUMIFS('Stock In-Out'!M:M,'Stock In-Out'!A:A,Inventory!A193)-SUMIFS('Stock In-Out'!N:N,'Stock In-Out'!A:A,Inventory!A193)</f>
        <v>0</v>
      </c>
      <c r="K193" s="8" t="str">
        <f>IFERROR(VLOOKUP(A193,'Product Master'!D:N,7,0),"")</f>
        <v/>
      </c>
      <c r="L193" s="6" t="str">
        <f>IFERROR(VLOOKUP(A193,'Product Master'!D190:F20189,3,0),"")</f>
        <v/>
      </c>
    </row>
    <row r="194" spans="1:12" x14ac:dyDescent="0.2">
      <c r="A194" s="1"/>
      <c r="B194" s="8">
        <f>SUMIFS('Stock In-Out'!D:D,'Stock In-Out'!B:B,"Opening Stock",'Stock In-Out'!A:A,Inventory!A194)</f>
        <v>0</v>
      </c>
      <c r="C194" s="8">
        <f>SUMIFS('Stock In-Out'!D:D,'Stock In-Out'!B:B,"In",'Stock In-Out'!A:A,Inventory!A194)</f>
        <v>0</v>
      </c>
      <c r="D194" s="8">
        <f>SUMIFS('Stock In-Out'!D:D,'Stock In-Out'!B:B,"Out",'Stock In-Out'!A:A,Inventory!A194)</f>
        <v>0</v>
      </c>
      <c r="E194" s="8">
        <f t="shared" si="3"/>
        <v>0</v>
      </c>
      <c r="F194" s="8" t="str">
        <f>IFERROR(VLOOKUP(A194,'Product Master'!D:N,10,0)*E194,"")</f>
        <v/>
      </c>
      <c r="G194" s="9" t="str">
        <f>IFERROR(VLOOKUP(A194,'Product Master'!D:N,11,0)*E194,"")</f>
        <v/>
      </c>
      <c r="H194" s="8">
        <f>SUMIFS('Product Master'!G:G,'Product Master'!D:D,Inventory!A194)+SUMIFS('Stock In-Out'!I:I,'Stock In-Out'!A:A,Inventory!A194)-SUMIFS('Stock In-Out'!J:J,'Stock In-Out'!A:A,Inventory!A194)</f>
        <v>0</v>
      </c>
      <c r="I194" s="8">
        <f>SUMIFS('Product Master'!H:H,'Product Master'!D:D,Inventory!A194)+SUMIFS('Stock In-Out'!K:K,'Stock In-Out'!A:A,Inventory!A194)-SUMIFS('Stock In-Out'!L:L,'Stock In-Out'!A:A,Inventory!A194)</f>
        <v>0</v>
      </c>
      <c r="J194" s="8">
        <f>SUMIFS('Product Master'!I:I,'Product Master'!D:D,Inventory!A194)+SUMIFS('Stock In-Out'!M:M,'Stock In-Out'!A:A,Inventory!A194)-SUMIFS('Stock In-Out'!N:N,'Stock In-Out'!A:A,Inventory!A194)</f>
        <v>0</v>
      </c>
      <c r="K194" s="8" t="str">
        <f>IFERROR(VLOOKUP(A194,'Product Master'!D:N,7,0),"")</f>
        <v/>
      </c>
      <c r="L194" s="6" t="str">
        <f>IFERROR(VLOOKUP(A194,'Product Master'!D191:F20190,3,0),"")</f>
        <v/>
      </c>
    </row>
    <row r="195" spans="1:12" x14ac:dyDescent="0.2">
      <c r="A195" s="1"/>
      <c r="B195" s="8">
        <f>SUMIFS('Stock In-Out'!D:D,'Stock In-Out'!B:B,"Opening Stock",'Stock In-Out'!A:A,Inventory!A195)</f>
        <v>0</v>
      </c>
      <c r="C195" s="8">
        <f>SUMIFS('Stock In-Out'!D:D,'Stock In-Out'!B:B,"In",'Stock In-Out'!A:A,Inventory!A195)</f>
        <v>0</v>
      </c>
      <c r="D195" s="8">
        <f>SUMIFS('Stock In-Out'!D:D,'Stock In-Out'!B:B,"Out",'Stock In-Out'!A:A,Inventory!A195)</f>
        <v>0</v>
      </c>
      <c r="E195" s="8">
        <f t="shared" si="3"/>
        <v>0</v>
      </c>
      <c r="F195" s="8" t="str">
        <f>IFERROR(VLOOKUP(A195,'Product Master'!D:N,10,0)*E195,"")</f>
        <v/>
      </c>
      <c r="G195" s="9" t="str">
        <f>IFERROR(VLOOKUP(A195,'Product Master'!D:N,11,0)*E195,"")</f>
        <v/>
      </c>
      <c r="H195" s="8">
        <f>SUMIFS('Product Master'!G:G,'Product Master'!D:D,Inventory!A195)+SUMIFS('Stock In-Out'!I:I,'Stock In-Out'!A:A,Inventory!A195)-SUMIFS('Stock In-Out'!J:J,'Stock In-Out'!A:A,Inventory!A195)</f>
        <v>0</v>
      </c>
      <c r="I195" s="8">
        <f>SUMIFS('Product Master'!H:H,'Product Master'!D:D,Inventory!A195)+SUMIFS('Stock In-Out'!K:K,'Stock In-Out'!A:A,Inventory!A195)-SUMIFS('Stock In-Out'!L:L,'Stock In-Out'!A:A,Inventory!A195)</f>
        <v>0</v>
      </c>
      <c r="J195" s="8">
        <f>SUMIFS('Product Master'!I:I,'Product Master'!D:D,Inventory!A195)+SUMIFS('Stock In-Out'!M:M,'Stock In-Out'!A:A,Inventory!A195)-SUMIFS('Stock In-Out'!N:N,'Stock In-Out'!A:A,Inventory!A195)</f>
        <v>0</v>
      </c>
      <c r="K195" s="8" t="str">
        <f>IFERROR(VLOOKUP(A195,'Product Master'!D:N,7,0),"")</f>
        <v/>
      </c>
      <c r="L195" s="6" t="str">
        <f>IFERROR(VLOOKUP(A195,'Product Master'!D192:F20191,3,0),"")</f>
        <v/>
      </c>
    </row>
    <row r="196" spans="1:12" x14ac:dyDescent="0.2">
      <c r="A196" s="1"/>
      <c r="B196" s="8">
        <f>SUMIFS('Stock In-Out'!D:D,'Stock In-Out'!B:B,"Opening Stock",'Stock In-Out'!A:A,Inventory!A196)</f>
        <v>0</v>
      </c>
      <c r="C196" s="8">
        <f>SUMIFS('Stock In-Out'!D:D,'Stock In-Out'!B:B,"In",'Stock In-Out'!A:A,Inventory!A196)</f>
        <v>0</v>
      </c>
      <c r="D196" s="8">
        <f>SUMIFS('Stock In-Out'!D:D,'Stock In-Out'!B:B,"Out",'Stock In-Out'!A:A,Inventory!A196)</f>
        <v>0</v>
      </c>
      <c r="E196" s="8">
        <f t="shared" si="3"/>
        <v>0</v>
      </c>
      <c r="F196" s="8" t="str">
        <f>IFERROR(VLOOKUP(A196,'Product Master'!D:N,10,0)*E196,"")</f>
        <v/>
      </c>
      <c r="G196" s="9" t="str">
        <f>IFERROR(VLOOKUP(A196,'Product Master'!D:N,11,0)*E196,"")</f>
        <v/>
      </c>
      <c r="H196" s="8">
        <f>SUMIFS('Product Master'!G:G,'Product Master'!D:D,Inventory!A196)+SUMIFS('Stock In-Out'!I:I,'Stock In-Out'!A:A,Inventory!A196)-SUMIFS('Stock In-Out'!J:J,'Stock In-Out'!A:A,Inventory!A196)</f>
        <v>0</v>
      </c>
      <c r="I196" s="8">
        <f>SUMIFS('Product Master'!H:H,'Product Master'!D:D,Inventory!A196)+SUMIFS('Stock In-Out'!K:K,'Stock In-Out'!A:A,Inventory!A196)-SUMIFS('Stock In-Out'!L:L,'Stock In-Out'!A:A,Inventory!A196)</f>
        <v>0</v>
      </c>
      <c r="J196" s="8">
        <f>SUMIFS('Product Master'!I:I,'Product Master'!D:D,Inventory!A196)+SUMIFS('Stock In-Out'!M:M,'Stock In-Out'!A:A,Inventory!A196)-SUMIFS('Stock In-Out'!N:N,'Stock In-Out'!A:A,Inventory!A196)</f>
        <v>0</v>
      </c>
      <c r="K196" s="8" t="str">
        <f>IFERROR(VLOOKUP(A196,'Product Master'!D:N,7,0),"")</f>
        <v/>
      </c>
      <c r="L196" s="6" t="str">
        <f>IFERROR(VLOOKUP(A196,'Product Master'!D193:F20192,3,0),"")</f>
        <v/>
      </c>
    </row>
    <row r="197" spans="1:12" x14ac:dyDescent="0.2">
      <c r="A197" s="1"/>
      <c r="B197" s="8">
        <f>SUMIFS('Stock In-Out'!D:D,'Stock In-Out'!B:B,"Opening Stock",'Stock In-Out'!A:A,Inventory!A197)</f>
        <v>0</v>
      </c>
      <c r="C197" s="8">
        <f>SUMIFS('Stock In-Out'!D:D,'Stock In-Out'!B:B,"In",'Stock In-Out'!A:A,Inventory!A197)</f>
        <v>0</v>
      </c>
      <c r="D197" s="8">
        <f>SUMIFS('Stock In-Out'!D:D,'Stock In-Out'!B:B,"Out",'Stock In-Out'!A:A,Inventory!A197)</f>
        <v>0</v>
      </c>
      <c r="E197" s="8">
        <f t="shared" si="3"/>
        <v>0</v>
      </c>
      <c r="F197" s="8" t="str">
        <f>IFERROR(VLOOKUP(A197,'Product Master'!D:N,10,0)*E197,"")</f>
        <v/>
      </c>
      <c r="G197" s="9" t="str">
        <f>IFERROR(VLOOKUP(A197,'Product Master'!D:N,11,0)*E197,"")</f>
        <v/>
      </c>
      <c r="H197" s="8">
        <f>SUMIFS('Product Master'!G:G,'Product Master'!D:D,Inventory!A197)+SUMIFS('Stock In-Out'!I:I,'Stock In-Out'!A:A,Inventory!A197)-SUMIFS('Stock In-Out'!J:J,'Stock In-Out'!A:A,Inventory!A197)</f>
        <v>0</v>
      </c>
      <c r="I197" s="8">
        <f>SUMIFS('Product Master'!H:H,'Product Master'!D:D,Inventory!A197)+SUMIFS('Stock In-Out'!K:K,'Stock In-Out'!A:A,Inventory!A197)-SUMIFS('Stock In-Out'!L:L,'Stock In-Out'!A:A,Inventory!A197)</f>
        <v>0</v>
      </c>
      <c r="J197" s="8">
        <f>SUMIFS('Product Master'!I:I,'Product Master'!D:D,Inventory!A197)+SUMIFS('Stock In-Out'!M:M,'Stock In-Out'!A:A,Inventory!A197)-SUMIFS('Stock In-Out'!N:N,'Stock In-Out'!A:A,Inventory!A197)</f>
        <v>0</v>
      </c>
      <c r="K197" s="8" t="str">
        <f>IFERROR(VLOOKUP(A197,'Product Master'!D:N,7,0),"")</f>
        <v/>
      </c>
      <c r="L197" s="6" t="str">
        <f>IFERROR(VLOOKUP(A197,'Product Master'!D194:F20193,3,0),"")</f>
        <v/>
      </c>
    </row>
    <row r="198" spans="1:12" x14ac:dyDescent="0.2">
      <c r="A198" s="1"/>
      <c r="B198" s="8">
        <f>SUMIFS('Stock In-Out'!D:D,'Stock In-Out'!B:B,"Opening Stock",'Stock In-Out'!A:A,Inventory!A198)</f>
        <v>0</v>
      </c>
      <c r="C198" s="8">
        <f>SUMIFS('Stock In-Out'!D:D,'Stock In-Out'!B:B,"In",'Stock In-Out'!A:A,Inventory!A198)</f>
        <v>0</v>
      </c>
      <c r="D198" s="8">
        <f>SUMIFS('Stock In-Out'!D:D,'Stock In-Out'!B:B,"Out",'Stock In-Out'!A:A,Inventory!A198)</f>
        <v>0</v>
      </c>
      <c r="E198" s="8">
        <f t="shared" ref="E198:E261" si="4">B198+C198-D198</f>
        <v>0</v>
      </c>
      <c r="F198" s="8" t="str">
        <f>IFERROR(VLOOKUP(A198,'Product Master'!D:N,10,0)*E198,"")</f>
        <v/>
      </c>
      <c r="G198" s="9" t="str">
        <f>IFERROR(VLOOKUP(A198,'Product Master'!D:N,11,0)*E198,"")</f>
        <v/>
      </c>
      <c r="H198" s="8">
        <f>SUMIFS('Product Master'!G:G,'Product Master'!D:D,Inventory!A198)+SUMIFS('Stock In-Out'!I:I,'Stock In-Out'!A:A,Inventory!A198)-SUMIFS('Stock In-Out'!J:J,'Stock In-Out'!A:A,Inventory!A198)</f>
        <v>0</v>
      </c>
      <c r="I198" s="8">
        <f>SUMIFS('Product Master'!H:H,'Product Master'!D:D,Inventory!A198)+SUMIFS('Stock In-Out'!K:K,'Stock In-Out'!A:A,Inventory!A198)-SUMIFS('Stock In-Out'!L:L,'Stock In-Out'!A:A,Inventory!A198)</f>
        <v>0</v>
      </c>
      <c r="J198" s="8">
        <f>SUMIFS('Product Master'!I:I,'Product Master'!D:D,Inventory!A198)+SUMIFS('Stock In-Out'!M:M,'Stock In-Out'!A:A,Inventory!A198)-SUMIFS('Stock In-Out'!N:N,'Stock In-Out'!A:A,Inventory!A198)</f>
        <v>0</v>
      </c>
      <c r="K198" s="8" t="str">
        <f>IFERROR(VLOOKUP(A198,'Product Master'!D:N,7,0),"")</f>
        <v/>
      </c>
      <c r="L198" s="6" t="str">
        <f>IFERROR(VLOOKUP(A198,'Product Master'!D195:F20194,3,0),"")</f>
        <v/>
      </c>
    </row>
    <row r="199" spans="1:12" x14ac:dyDescent="0.2">
      <c r="A199" s="1"/>
      <c r="B199" s="8">
        <f>SUMIFS('Stock In-Out'!D:D,'Stock In-Out'!B:B,"Opening Stock",'Stock In-Out'!A:A,Inventory!A199)</f>
        <v>0</v>
      </c>
      <c r="C199" s="8">
        <f>SUMIFS('Stock In-Out'!D:D,'Stock In-Out'!B:B,"In",'Stock In-Out'!A:A,Inventory!A199)</f>
        <v>0</v>
      </c>
      <c r="D199" s="8">
        <f>SUMIFS('Stock In-Out'!D:D,'Stock In-Out'!B:B,"Out",'Stock In-Out'!A:A,Inventory!A199)</f>
        <v>0</v>
      </c>
      <c r="E199" s="8">
        <f t="shared" si="4"/>
        <v>0</v>
      </c>
      <c r="F199" s="8" t="str">
        <f>IFERROR(VLOOKUP(A199,'Product Master'!D:N,10,0)*E199,"")</f>
        <v/>
      </c>
      <c r="G199" s="9" t="str">
        <f>IFERROR(VLOOKUP(A199,'Product Master'!D:N,11,0)*E199,"")</f>
        <v/>
      </c>
      <c r="H199" s="8">
        <f>SUMIFS('Product Master'!G:G,'Product Master'!D:D,Inventory!A199)+SUMIFS('Stock In-Out'!I:I,'Stock In-Out'!A:A,Inventory!A199)-SUMIFS('Stock In-Out'!J:J,'Stock In-Out'!A:A,Inventory!A199)</f>
        <v>0</v>
      </c>
      <c r="I199" s="8">
        <f>SUMIFS('Product Master'!H:H,'Product Master'!D:D,Inventory!A199)+SUMIFS('Stock In-Out'!K:K,'Stock In-Out'!A:A,Inventory!A199)-SUMIFS('Stock In-Out'!L:L,'Stock In-Out'!A:A,Inventory!A199)</f>
        <v>0</v>
      </c>
      <c r="J199" s="8">
        <f>SUMIFS('Product Master'!I:I,'Product Master'!D:D,Inventory!A199)+SUMIFS('Stock In-Out'!M:M,'Stock In-Out'!A:A,Inventory!A199)-SUMIFS('Stock In-Out'!N:N,'Stock In-Out'!A:A,Inventory!A199)</f>
        <v>0</v>
      </c>
      <c r="K199" s="8" t="str">
        <f>IFERROR(VLOOKUP(A199,'Product Master'!D:N,7,0),"")</f>
        <v/>
      </c>
      <c r="L199" s="6" t="str">
        <f>IFERROR(VLOOKUP(A199,'Product Master'!D196:F20195,3,0),"")</f>
        <v/>
      </c>
    </row>
    <row r="200" spans="1:12" x14ac:dyDescent="0.2">
      <c r="A200" s="1"/>
      <c r="B200" s="8">
        <f>SUMIFS('Stock In-Out'!D:D,'Stock In-Out'!B:B,"Opening Stock",'Stock In-Out'!A:A,Inventory!A200)</f>
        <v>0</v>
      </c>
      <c r="C200" s="8">
        <f>SUMIFS('Stock In-Out'!D:D,'Stock In-Out'!B:B,"In",'Stock In-Out'!A:A,Inventory!A200)</f>
        <v>0</v>
      </c>
      <c r="D200" s="8">
        <f>SUMIFS('Stock In-Out'!D:D,'Stock In-Out'!B:B,"Out",'Stock In-Out'!A:A,Inventory!A200)</f>
        <v>0</v>
      </c>
      <c r="E200" s="8">
        <f t="shared" si="4"/>
        <v>0</v>
      </c>
      <c r="F200" s="8" t="str">
        <f>IFERROR(VLOOKUP(A200,'Product Master'!D:N,10,0)*E200,"")</f>
        <v/>
      </c>
      <c r="G200" s="9" t="str">
        <f>IFERROR(VLOOKUP(A200,'Product Master'!D:N,11,0)*E200,"")</f>
        <v/>
      </c>
      <c r="H200" s="8">
        <f>SUMIFS('Product Master'!G:G,'Product Master'!D:D,Inventory!A200)+SUMIFS('Stock In-Out'!I:I,'Stock In-Out'!A:A,Inventory!A200)-SUMIFS('Stock In-Out'!J:J,'Stock In-Out'!A:A,Inventory!A200)</f>
        <v>0</v>
      </c>
      <c r="I200" s="8">
        <f>SUMIFS('Product Master'!H:H,'Product Master'!D:D,Inventory!A200)+SUMIFS('Stock In-Out'!K:K,'Stock In-Out'!A:A,Inventory!A200)-SUMIFS('Stock In-Out'!L:L,'Stock In-Out'!A:A,Inventory!A200)</f>
        <v>0</v>
      </c>
      <c r="J200" s="8">
        <f>SUMIFS('Product Master'!I:I,'Product Master'!D:D,Inventory!A200)+SUMIFS('Stock In-Out'!M:M,'Stock In-Out'!A:A,Inventory!A200)-SUMIFS('Stock In-Out'!N:N,'Stock In-Out'!A:A,Inventory!A200)</f>
        <v>0</v>
      </c>
      <c r="K200" s="8" t="str">
        <f>IFERROR(VLOOKUP(A200,'Product Master'!D:N,7,0),"")</f>
        <v/>
      </c>
      <c r="L200" s="6" t="str">
        <f>IFERROR(VLOOKUP(A200,'Product Master'!D197:F20196,3,0),"")</f>
        <v/>
      </c>
    </row>
    <row r="201" spans="1:12" x14ac:dyDescent="0.2">
      <c r="A201" s="1"/>
      <c r="B201" s="8">
        <f>SUMIFS('Stock In-Out'!D:D,'Stock In-Out'!B:B,"Opening Stock",'Stock In-Out'!A:A,Inventory!A201)</f>
        <v>0</v>
      </c>
      <c r="C201" s="8">
        <f>SUMIFS('Stock In-Out'!D:D,'Stock In-Out'!B:B,"In",'Stock In-Out'!A:A,Inventory!A201)</f>
        <v>0</v>
      </c>
      <c r="D201" s="8">
        <f>SUMIFS('Stock In-Out'!D:D,'Stock In-Out'!B:B,"Out",'Stock In-Out'!A:A,Inventory!A201)</f>
        <v>0</v>
      </c>
      <c r="E201" s="8">
        <f t="shared" si="4"/>
        <v>0</v>
      </c>
      <c r="F201" s="8" t="str">
        <f>IFERROR(VLOOKUP(A201,'Product Master'!D:N,10,0)*E201,"")</f>
        <v/>
      </c>
      <c r="G201" s="9" t="str">
        <f>IFERROR(VLOOKUP(A201,'Product Master'!D:N,11,0)*E201,"")</f>
        <v/>
      </c>
      <c r="H201" s="8">
        <f>SUMIFS('Product Master'!G:G,'Product Master'!D:D,Inventory!A201)+SUMIFS('Stock In-Out'!I:I,'Stock In-Out'!A:A,Inventory!A201)-SUMIFS('Stock In-Out'!J:J,'Stock In-Out'!A:A,Inventory!A201)</f>
        <v>0</v>
      </c>
      <c r="I201" s="8">
        <f>SUMIFS('Product Master'!H:H,'Product Master'!D:D,Inventory!A201)+SUMIFS('Stock In-Out'!K:K,'Stock In-Out'!A:A,Inventory!A201)-SUMIFS('Stock In-Out'!L:L,'Stock In-Out'!A:A,Inventory!A201)</f>
        <v>0</v>
      </c>
      <c r="J201" s="8">
        <f>SUMIFS('Product Master'!I:I,'Product Master'!D:D,Inventory!A201)+SUMIFS('Stock In-Out'!M:M,'Stock In-Out'!A:A,Inventory!A201)-SUMIFS('Stock In-Out'!N:N,'Stock In-Out'!A:A,Inventory!A201)</f>
        <v>0</v>
      </c>
      <c r="K201" s="8" t="str">
        <f>IFERROR(VLOOKUP(A201,'Product Master'!D:N,7,0),"")</f>
        <v/>
      </c>
      <c r="L201" s="6" t="str">
        <f>IFERROR(VLOOKUP(A201,'Product Master'!D198:F20197,3,0),"")</f>
        <v/>
      </c>
    </row>
    <row r="202" spans="1:12" x14ac:dyDescent="0.2">
      <c r="A202" s="1"/>
      <c r="B202" s="8">
        <f>SUMIFS('Stock In-Out'!D:D,'Stock In-Out'!B:B,"Opening Stock",'Stock In-Out'!A:A,Inventory!A202)</f>
        <v>0</v>
      </c>
      <c r="C202" s="8">
        <f>SUMIFS('Stock In-Out'!D:D,'Stock In-Out'!B:B,"In",'Stock In-Out'!A:A,Inventory!A202)</f>
        <v>0</v>
      </c>
      <c r="D202" s="8">
        <f>SUMIFS('Stock In-Out'!D:D,'Stock In-Out'!B:B,"Out",'Stock In-Out'!A:A,Inventory!A202)</f>
        <v>0</v>
      </c>
      <c r="E202" s="8">
        <f t="shared" si="4"/>
        <v>0</v>
      </c>
      <c r="F202" s="8" t="str">
        <f>IFERROR(VLOOKUP(A202,'Product Master'!D:N,10,0)*E202,"")</f>
        <v/>
      </c>
      <c r="G202" s="9" t="str">
        <f>IFERROR(VLOOKUP(A202,'Product Master'!D:N,11,0)*E202,"")</f>
        <v/>
      </c>
      <c r="H202" s="8">
        <f>SUMIFS('Product Master'!G:G,'Product Master'!D:D,Inventory!A202)+SUMIFS('Stock In-Out'!I:I,'Stock In-Out'!A:A,Inventory!A202)-SUMIFS('Stock In-Out'!J:J,'Stock In-Out'!A:A,Inventory!A202)</f>
        <v>0</v>
      </c>
      <c r="I202" s="8">
        <f>SUMIFS('Product Master'!H:H,'Product Master'!D:D,Inventory!A202)+SUMIFS('Stock In-Out'!K:K,'Stock In-Out'!A:A,Inventory!A202)-SUMIFS('Stock In-Out'!L:L,'Stock In-Out'!A:A,Inventory!A202)</f>
        <v>0</v>
      </c>
      <c r="J202" s="8">
        <f>SUMIFS('Product Master'!I:I,'Product Master'!D:D,Inventory!A202)+SUMIFS('Stock In-Out'!M:M,'Stock In-Out'!A:A,Inventory!A202)-SUMIFS('Stock In-Out'!N:N,'Stock In-Out'!A:A,Inventory!A202)</f>
        <v>0</v>
      </c>
      <c r="K202" s="8" t="str">
        <f>IFERROR(VLOOKUP(A202,'Product Master'!D:N,7,0),"")</f>
        <v/>
      </c>
      <c r="L202" s="6" t="str">
        <f>IFERROR(VLOOKUP(A202,'Product Master'!D199:F20198,3,0),"")</f>
        <v/>
      </c>
    </row>
    <row r="203" spans="1:12" x14ac:dyDescent="0.2">
      <c r="A203" s="1"/>
      <c r="B203" s="8">
        <f>SUMIFS('Stock In-Out'!D:D,'Stock In-Out'!B:B,"Opening Stock",'Stock In-Out'!A:A,Inventory!A203)</f>
        <v>0</v>
      </c>
      <c r="C203" s="8">
        <f>SUMIFS('Stock In-Out'!D:D,'Stock In-Out'!B:B,"In",'Stock In-Out'!A:A,Inventory!A203)</f>
        <v>0</v>
      </c>
      <c r="D203" s="8">
        <f>SUMIFS('Stock In-Out'!D:D,'Stock In-Out'!B:B,"Out",'Stock In-Out'!A:A,Inventory!A203)</f>
        <v>0</v>
      </c>
      <c r="E203" s="8">
        <f t="shared" si="4"/>
        <v>0</v>
      </c>
      <c r="F203" s="8" t="str">
        <f>IFERROR(VLOOKUP(A203,'Product Master'!D:N,10,0)*E203,"")</f>
        <v/>
      </c>
      <c r="G203" s="9" t="str">
        <f>IFERROR(VLOOKUP(A203,'Product Master'!D:N,11,0)*E203,"")</f>
        <v/>
      </c>
      <c r="H203" s="8">
        <f>SUMIFS('Product Master'!G:G,'Product Master'!D:D,Inventory!A203)+SUMIFS('Stock In-Out'!I:I,'Stock In-Out'!A:A,Inventory!A203)-SUMIFS('Stock In-Out'!J:J,'Stock In-Out'!A:A,Inventory!A203)</f>
        <v>0</v>
      </c>
      <c r="I203" s="8">
        <f>SUMIFS('Product Master'!H:H,'Product Master'!D:D,Inventory!A203)+SUMIFS('Stock In-Out'!K:K,'Stock In-Out'!A:A,Inventory!A203)-SUMIFS('Stock In-Out'!L:L,'Stock In-Out'!A:A,Inventory!A203)</f>
        <v>0</v>
      </c>
      <c r="J203" s="8">
        <f>SUMIFS('Product Master'!I:I,'Product Master'!D:D,Inventory!A203)+SUMIFS('Stock In-Out'!M:M,'Stock In-Out'!A:A,Inventory!A203)-SUMIFS('Stock In-Out'!N:N,'Stock In-Out'!A:A,Inventory!A203)</f>
        <v>0</v>
      </c>
      <c r="K203" s="8" t="str">
        <f>IFERROR(VLOOKUP(A203,'Product Master'!D:N,7,0),"")</f>
        <v/>
      </c>
      <c r="L203" s="6" t="str">
        <f>IFERROR(VLOOKUP(A203,'Product Master'!D200:F20199,3,0),"")</f>
        <v/>
      </c>
    </row>
    <row r="204" spans="1:12" x14ac:dyDescent="0.2">
      <c r="A204" s="1"/>
      <c r="B204" s="8">
        <f>SUMIFS('Stock In-Out'!D:D,'Stock In-Out'!B:B,"Opening Stock",'Stock In-Out'!A:A,Inventory!A204)</f>
        <v>0</v>
      </c>
      <c r="C204" s="8">
        <f>SUMIFS('Stock In-Out'!D:D,'Stock In-Out'!B:B,"In",'Stock In-Out'!A:A,Inventory!A204)</f>
        <v>0</v>
      </c>
      <c r="D204" s="8">
        <f>SUMIFS('Stock In-Out'!D:D,'Stock In-Out'!B:B,"Out",'Stock In-Out'!A:A,Inventory!A204)</f>
        <v>0</v>
      </c>
      <c r="E204" s="8">
        <f t="shared" si="4"/>
        <v>0</v>
      </c>
      <c r="F204" s="8" t="str">
        <f>IFERROR(VLOOKUP(A204,'Product Master'!D:N,10,0)*E204,"")</f>
        <v/>
      </c>
      <c r="G204" s="9" t="str">
        <f>IFERROR(VLOOKUP(A204,'Product Master'!D:N,11,0)*E204,"")</f>
        <v/>
      </c>
      <c r="H204" s="8">
        <f>SUMIFS('Product Master'!G:G,'Product Master'!D:D,Inventory!A204)+SUMIFS('Stock In-Out'!I:I,'Stock In-Out'!A:A,Inventory!A204)-SUMIFS('Stock In-Out'!J:J,'Stock In-Out'!A:A,Inventory!A204)</f>
        <v>0</v>
      </c>
      <c r="I204" s="8">
        <f>SUMIFS('Product Master'!H:H,'Product Master'!D:D,Inventory!A204)+SUMIFS('Stock In-Out'!K:K,'Stock In-Out'!A:A,Inventory!A204)-SUMIFS('Stock In-Out'!L:L,'Stock In-Out'!A:A,Inventory!A204)</f>
        <v>0</v>
      </c>
      <c r="J204" s="8">
        <f>SUMIFS('Product Master'!I:I,'Product Master'!D:D,Inventory!A204)+SUMIFS('Stock In-Out'!M:M,'Stock In-Out'!A:A,Inventory!A204)-SUMIFS('Stock In-Out'!N:N,'Stock In-Out'!A:A,Inventory!A204)</f>
        <v>0</v>
      </c>
      <c r="K204" s="8" t="str">
        <f>IFERROR(VLOOKUP(A204,'Product Master'!D:N,7,0),"")</f>
        <v/>
      </c>
      <c r="L204" s="6" t="str">
        <f>IFERROR(VLOOKUP(A204,'Product Master'!D201:F20200,3,0),"")</f>
        <v/>
      </c>
    </row>
    <row r="205" spans="1:12" x14ac:dyDescent="0.2">
      <c r="A205" s="1"/>
      <c r="B205" s="8">
        <f>SUMIFS('Stock In-Out'!D:D,'Stock In-Out'!B:B,"Opening Stock",'Stock In-Out'!A:A,Inventory!A205)</f>
        <v>0</v>
      </c>
      <c r="C205" s="8">
        <f>SUMIFS('Stock In-Out'!D:D,'Stock In-Out'!B:B,"In",'Stock In-Out'!A:A,Inventory!A205)</f>
        <v>0</v>
      </c>
      <c r="D205" s="8">
        <f>SUMIFS('Stock In-Out'!D:D,'Stock In-Out'!B:B,"Out",'Stock In-Out'!A:A,Inventory!A205)</f>
        <v>0</v>
      </c>
      <c r="E205" s="8">
        <f t="shared" si="4"/>
        <v>0</v>
      </c>
      <c r="F205" s="8" t="str">
        <f>IFERROR(VLOOKUP(A205,'Product Master'!D:N,10,0)*E205,"")</f>
        <v/>
      </c>
      <c r="G205" s="9" t="str">
        <f>IFERROR(VLOOKUP(A205,'Product Master'!D:N,11,0)*E205,"")</f>
        <v/>
      </c>
      <c r="H205" s="8">
        <f>SUMIFS('Product Master'!G:G,'Product Master'!D:D,Inventory!A205)+SUMIFS('Stock In-Out'!I:I,'Stock In-Out'!A:A,Inventory!A205)-SUMIFS('Stock In-Out'!J:J,'Stock In-Out'!A:A,Inventory!A205)</f>
        <v>0</v>
      </c>
      <c r="I205" s="8">
        <f>SUMIFS('Product Master'!H:H,'Product Master'!D:D,Inventory!A205)+SUMIFS('Stock In-Out'!K:K,'Stock In-Out'!A:A,Inventory!A205)-SUMIFS('Stock In-Out'!L:L,'Stock In-Out'!A:A,Inventory!A205)</f>
        <v>0</v>
      </c>
      <c r="J205" s="8">
        <f>SUMIFS('Product Master'!I:I,'Product Master'!D:D,Inventory!A205)+SUMIFS('Stock In-Out'!M:M,'Stock In-Out'!A:A,Inventory!A205)-SUMIFS('Stock In-Out'!N:N,'Stock In-Out'!A:A,Inventory!A205)</f>
        <v>0</v>
      </c>
      <c r="K205" s="8" t="str">
        <f>IFERROR(VLOOKUP(A205,'Product Master'!D:N,7,0),"")</f>
        <v/>
      </c>
      <c r="L205" s="6" t="str">
        <f>IFERROR(VLOOKUP(A205,'Product Master'!D202:F20201,3,0),"")</f>
        <v/>
      </c>
    </row>
    <row r="206" spans="1:12" x14ac:dyDescent="0.2">
      <c r="A206" s="1"/>
      <c r="B206" s="8">
        <f>SUMIFS('Stock In-Out'!D:D,'Stock In-Out'!B:B,"Opening Stock",'Stock In-Out'!A:A,Inventory!A206)</f>
        <v>0</v>
      </c>
      <c r="C206" s="8">
        <f>SUMIFS('Stock In-Out'!D:D,'Stock In-Out'!B:B,"In",'Stock In-Out'!A:A,Inventory!A206)</f>
        <v>0</v>
      </c>
      <c r="D206" s="8">
        <f>SUMIFS('Stock In-Out'!D:D,'Stock In-Out'!B:B,"Out",'Stock In-Out'!A:A,Inventory!A206)</f>
        <v>0</v>
      </c>
      <c r="E206" s="8">
        <f t="shared" si="4"/>
        <v>0</v>
      </c>
      <c r="F206" s="8" t="str">
        <f>IFERROR(VLOOKUP(A206,'Product Master'!D:N,10,0)*E206,"")</f>
        <v/>
      </c>
      <c r="G206" s="9" t="str">
        <f>IFERROR(VLOOKUP(A206,'Product Master'!D:N,11,0)*E206,"")</f>
        <v/>
      </c>
      <c r="H206" s="8">
        <f>SUMIFS('Product Master'!G:G,'Product Master'!D:D,Inventory!A206)+SUMIFS('Stock In-Out'!I:I,'Stock In-Out'!A:A,Inventory!A206)-SUMIFS('Stock In-Out'!J:J,'Stock In-Out'!A:A,Inventory!A206)</f>
        <v>0</v>
      </c>
      <c r="I206" s="8">
        <f>SUMIFS('Product Master'!H:H,'Product Master'!D:D,Inventory!A206)+SUMIFS('Stock In-Out'!K:K,'Stock In-Out'!A:A,Inventory!A206)-SUMIFS('Stock In-Out'!L:L,'Stock In-Out'!A:A,Inventory!A206)</f>
        <v>0</v>
      </c>
      <c r="J206" s="8">
        <f>SUMIFS('Product Master'!I:I,'Product Master'!D:D,Inventory!A206)+SUMIFS('Stock In-Out'!M:M,'Stock In-Out'!A:A,Inventory!A206)-SUMIFS('Stock In-Out'!N:N,'Stock In-Out'!A:A,Inventory!A206)</f>
        <v>0</v>
      </c>
      <c r="K206" s="8" t="str">
        <f>IFERROR(VLOOKUP(A206,'Product Master'!D:N,7,0),"")</f>
        <v/>
      </c>
      <c r="L206" s="6" t="str">
        <f>IFERROR(VLOOKUP(A206,'Product Master'!D203:F20202,3,0),"")</f>
        <v/>
      </c>
    </row>
    <row r="207" spans="1:12" x14ac:dyDescent="0.2">
      <c r="A207" s="1"/>
      <c r="B207" s="8">
        <f>SUMIFS('Stock In-Out'!D:D,'Stock In-Out'!B:B,"Opening Stock",'Stock In-Out'!A:A,Inventory!A207)</f>
        <v>0</v>
      </c>
      <c r="C207" s="8">
        <f>SUMIFS('Stock In-Out'!D:D,'Stock In-Out'!B:B,"In",'Stock In-Out'!A:A,Inventory!A207)</f>
        <v>0</v>
      </c>
      <c r="D207" s="8">
        <f>SUMIFS('Stock In-Out'!D:D,'Stock In-Out'!B:B,"Out",'Stock In-Out'!A:A,Inventory!A207)</f>
        <v>0</v>
      </c>
      <c r="E207" s="8">
        <f t="shared" si="4"/>
        <v>0</v>
      </c>
      <c r="F207" s="8" t="str">
        <f>IFERROR(VLOOKUP(A207,'Product Master'!D:N,10,0)*E207,"")</f>
        <v/>
      </c>
      <c r="G207" s="9" t="str">
        <f>IFERROR(VLOOKUP(A207,'Product Master'!D:N,11,0)*E207,"")</f>
        <v/>
      </c>
      <c r="H207" s="8">
        <f>SUMIFS('Product Master'!G:G,'Product Master'!D:D,Inventory!A207)+SUMIFS('Stock In-Out'!I:I,'Stock In-Out'!A:A,Inventory!A207)-SUMIFS('Stock In-Out'!J:J,'Stock In-Out'!A:A,Inventory!A207)</f>
        <v>0</v>
      </c>
      <c r="I207" s="8">
        <f>SUMIFS('Product Master'!H:H,'Product Master'!D:D,Inventory!A207)+SUMIFS('Stock In-Out'!K:K,'Stock In-Out'!A:A,Inventory!A207)-SUMIFS('Stock In-Out'!L:L,'Stock In-Out'!A:A,Inventory!A207)</f>
        <v>0</v>
      </c>
      <c r="J207" s="8">
        <f>SUMIFS('Product Master'!I:I,'Product Master'!D:D,Inventory!A207)+SUMIFS('Stock In-Out'!M:M,'Stock In-Out'!A:A,Inventory!A207)-SUMIFS('Stock In-Out'!N:N,'Stock In-Out'!A:A,Inventory!A207)</f>
        <v>0</v>
      </c>
      <c r="K207" s="8" t="str">
        <f>IFERROR(VLOOKUP(A207,'Product Master'!D:N,7,0),"")</f>
        <v/>
      </c>
      <c r="L207" s="6" t="str">
        <f>IFERROR(VLOOKUP(A207,'Product Master'!D204:F20203,3,0),"")</f>
        <v/>
      </c>
    </row>
    <row r="208" spans="1:12" x14ac:dyDescent="0.2">
      <c r="A208" s="1"/>
      <c r="B208" s="8">
        <f>SUMIFS('Stock In-Out'!D:D,'Stock In-Out'!B:B,"Opening Stock",'Stock In-Out'!A:A,Inventory!A208)</f>
        <v>0</v>
      </c>
      <c r="C208" s="8">
        <f>SUMIFS('Stock In-Out'!D:D,'Stock In-Out'!B:B,"In",'Stock In-Out'!A:A,Inventory!A208)</f>
        <v>0</v>
      </c>
      <c r="D208" s="8">
        <f>SUMIFS('Stock In-Out'!D:D,'Stock In-Out'!B:B,"Out",'Stock In-Out'!A:A,Inventory!A208)</f>
        <v>0</v>
      </c>
      <c r="E208" s="8">
        <f t="shared" si="4"/>
        <v>0</v>
      </c>
      <c r="F208" s="8" t="str">
        <f>IFERROR(VLOOKUP(A208,'Product Master'!D:N,10,0)*E208,"")</f>
        <v/>
      </c>
      <c r="G208" s="9" t="str">
        <f>IFERROR(VLOOKUP(A208,'Product Master'!D:N,11,0)*E208,"")</f>
        <v/>
      </c>
      <c r="H208" s="8">
        <f>SUMIFS('Product Master'!G:G,'Product Master'!D:D,Inventory!A208)+SUMIFS('Stock In-Out'!I:I,'Stock In-Out'!A:A,Inventory!A208)-SUMIFS('Stock In-Out'!J:J,'Stock In-Out'!A:A,Inventory!A208)</f>
        <v>0</v>
      </c>
      <c r="I208" s="8">
        <f>SUMIFS('Product Master'!H:H,'Product Master'!D:D,Inventory!A208)+SUMIFS('Stock In-Out'!K:K,'Stock In-Out'!A:A,Inventory!A208)-SUMIFS('Stock In-Out'!L:L,'Stock In-Out'!A:A,Inventory!A208)</f>
        <v>0</v>
      </c>
      <c r="J208" s="8">
        <f>SUMIFS('Product Master'!I:I,'Product Master'!D:D,Inventory!A208)+SUMIFS('Stock In-Out'!M:M,'Stock In-Out'!A:A,Inventory!A208)-SUMIFS('Stock In-Out'!N:N,'Stock In-Out'!A:A,Inventory!A208)</f>
        <v>0</v>
      </c>
      <c r="K208" s="8" t="str">
        <f>IFERROR(VLOOKUP(A208,'Product Master'!D:N,7,0),"")</f>
        <v/>
      </c>
      <c r="L208" s="6" t="str">
        <f>IFERROR(VLOOKUP(A208,'Product Master'!D205:F20204,3,0),"")</f>
        <v/>
      </c>
    </row>
    <row r="209" spans="1:12" x14ac:dyDescent="0.2">
      <c r="A209" s="1"/>
      <c r="B209" s="8">
        <f>SUMIFS('Stock In-Out'!D:D,'Stock In-Out'!B:B,"Opening Stock",'Stock In-Out'!A:A,Inventory!A209)</f>
        <v>0</v>
      </c>
      <c r="C209" s="8">
        <f>SUMIFS('Stock In-Out'!D:D,'Stock In-Out'!B:B,"In",'Stock In-Out'!A:A,Inventory!A209)</f>
        <v>0</v>
      </c>
      <c r="D209" s="8">
        <f>SUMIFS('Stock In-Out'!D:D,'Stock In-Out'!B:B,"Out",'Stock In-Out'!A:A,Inventory!A209)</f>
        <v>0</v>
      </c>
      <c r="E209" s="8">
        <f t="shared" si="4"/>
        <v>0</v>
      </c>
      <c r="F209" s="8" t="str">
        <f>IFERROR(VLOOKUP(A209,'Product Master'!D:N,10,0)*E209,"")</f>
        <v/>
      </c>
      <c r="G209" s="9" t="str">
        <f>IFERROR(VLOOKUP(A209,'Product Master'!D:N,11,0)*E209,"")</f>
        <v/>
      </c>
      <c r="H209" s="8">
        <f>SUMIFS('Product Master'!G:G,'Product Master'!D:D,Inventory!A209)+SUMIFS('Stock In-Out'!I:I,'Stock In-Out'!A:A,Inventory!A209)-SUMIFS('Stock In-Out'!J:J,'Stock In-Out'!A:A,Inventory!A209)</f>
        <v>0</v>
      </c>
      <c r="I209" s="8">
        <f>SUMIFS('Product Master'!H:H,'Product Master'!D:D,Inventory!A209)+SUMIFS('Stock In-Out'!K:K,'Stock In-Out'!A:A,Inventory!A209)-SUMIFS('Stock In-Out'!L:L,'Stock In-Out'!A:A,Inventory!A209)</f>
        <v>0</v>
      </c>
      <c r="J209" s="8">
        <f>SUMIFS('Product Master'!I:I,'Product Master'!D:D,Inventory!A209)+SUMIFS('Stock In-Out'!M:M,'Stock In-Out'!A:A,Inventory!A209)-SUMIFS('Stock In-Out'!N:N,'Stock In-Out'!A:A,Inventory!A209)</f>
        <v>0</v>
      </c>
      <c r="K209" s="8" t="str">
        <f>IFERROR(VLOOKUP(A209,'Product Master'!D:N,7,0),"")</f>
        <v/>
      </c>
      <c r="L209" s="6" t="str">
        <f>IFERROR(VLOOKUP(A209,'Product Master'!D206:F20205,3,0),"")</f>
        <v/>
      </c>
    </row>
    <row r="210" spans="1:12" x14ac:dyDescent="0.2">
      <c r="A210" s="1"/>
      <c r="B210" s="8">
        <f>SUMIFS('Stock In-Out'!D:D,'Stock In-Out'!B:B,"Opening Stock",'Stock In-Out'!A:A,Inventory!A210)</f>
        <v>0</v>
      </c>
      <c r="C210" s="8">
        <f>SUMIFS('Stock In-Out'!D:D,'Stock In-Out'!B:B,"In",'Stock In-Out'!A:A,Inventory!A210)</f>
        <v>0</v>
      </c>
      <c r="D210" s="8">
        <f>SUMIFS('Stock In-Out'!D:D,'Stock In-Out'!B:B,"Out",'Stock In-Out'!A:A,Inventory!A210)</f>
        <v>0</v>
      </c>
      <c r="E210" s="8">
        <f t="shared" si="4"/>
        <v>0</v>
      </c>
      <c r="F210" s="8" t="str">
        <f>IFERROR(VLOOKUP(A210,'Product Master'!D:N,10,0)*E210,"")</f>
        <v/>
      </c>
      <c r="G210" s="9" t="str">
        <f>IFERROR(VLOOKUP(A210,'Product Master'!D:N,11,0)*E210,"")</f>
        <v/>
      </c>
      <c r="H210" s="8">
        <f>SUMIFS('Product Master'!G:G,'Product Master'!D:D,Inventory!A210)+SUMIFS('Stock In-Out'!I:I,'Stock In-Out'!A:A,Inventory!A210)-SUMIFS('Stock In-Out'!J:J,'Stock In-Out'!A:A,Inventory!A210)</f>
        <v>0</v>
      </c>
      <c r="I210" s="8">
        <f>SUMIFS('Product Master'!H:H,'Product Master'!D:D,Inventory!A210)+SUMIFS('Stock In-Out'!K:K,'Stock In-Out'!A:A,Inventory!A210)-SUMIFS('Stock In-Out'!L:L,'Stock In-Out'!A:A,Inventory!A210)</f>
        <v>0</v>
      </c>
      <c r="J210" s="8">
        <f>SUMIFS('Product Master'!I:I,'Product Master'!D:D,Inventory!A210)+SUMIFS('Stock In-Out'!M:M,'Stock In-Out'!A:A,Inventory!A210)-SUMIFS('Stock In-Out'!N:N,'Stock In-Out'!A:A,Inventory!A210)</f>
        <v>0</v>
      </c>
      <c r="K210" s="8" t="str">
        <f>IFERROR(VLOOKUP(A210,'Product Master'!D:N,7,0),"")</f>
        <v/>
      </c>
      <c r="L210" s="6" t="str">
        <f>IFERROR(VLOOKUP(A210,'Product Master'!D207:F20206,3,0),"")</f>
        <v/>
      </c>
    </row>
    <row r="211" spans="1:12" x14ac:dyDescent="0.2">
      <c r="A211" s="1"/>
      <c r="B211" s="8">
        <f>SUMIFS('Stock In-Out'!D:D,'Stock In-Out'!B:B,"Opening Stock",'Stock In-Out'!A:A,Inventory!A211)</f>
        <v>0</v>
      </c>
      <c r="C211" s="8">
        <f>SUMIFS('Stock In-Out'!D:D,'Stock In-Out'!B:B,"In",'Stock In-Out'!A:A,Inventory!A211)</f>
        <v>0</v>
      </c>
      <c r="D211" s="8">
        <f>SUMIFS('Stock In-Out'!D:D,'Stock In-Out'!B:B,"Out",'Stock In-Out'!A:A,Inventory!A211)</f>
        <v>0</v>
      </c>
      <c r="E211" s="8">
        <f t="shared" si="4"/>
        <v>0</v>
      </c>
      <c r="F211" s="8" t="str">
        <f>IFERROR(VLOOKUP(A211,'Product Master'!D:N,10,0)*E211,"")</f>
        <v/>
      </c>
      <c r="G211" s="9" t="str">
        <f>IFERROR(VLOOKUP(A211,'Product Master'!D:N,11,0)*E211,"")</f>
        <v/>
      </c>
      <c r="H211" s="8">
        <f>SUMIFS('Product Master'!G:G,'Product Master'!D:D,Inventory!A211)+SUMIFS('Stock In-Out'!I:I,'Stock In-Out'!A:A,Inventory!A211)-SUMIFS('Stock In-Out'!J:J,'Stock In-Out'!A:A,Inventory!A211)</f>
        <v>0</v>
      </c>
      <c r="I211" s="8">
        <f>SUMIFS('Product Master'!H:H,'Product Master'!D:D,Inventory!A211)+SUMIFS('Stock In-Out'!K:K,'Stock In-Out'!A:A,Inventory!A211)-SUMIFS('Stock In-Out'!L:L,'Stock In-Out'!A:A,Inventory!A211)</f>
        <v>0</v>
      </c>
      <c r="J211" s="8">
        <f>SUMIFS('Product Master'!I:I,'Product Master'!D:D,Inventory!A211)+SUMIFS('Stock In-Out'!M:M,'Stock In-Out'!A:A,Inventory!A211)-SUMIFS('Stock In-Out'!N:N,'Stock In-Out'!A:A,Inventory!A211)</f>
        <v>0</v>
      </c>
      <c r="K211" s="8" t="str">
        <f>IFERROR(VLOOKUP(A211,'Product Master'!D:N,7,0),"")</f>
        <v/>
      </c>
      <c r="L211" s="6" t="str">
        <f>IFERROR(VLOOKUP(A211,'Product Master'!D208:F20207,3,0),"")</f>
        <v/>
      </c>
    </row>
    <row r="212" spans="1:12" x14ac:dyDescent="0.2">
      <c r="A212" s="1"/>
      <c r="B212" s="8">
        <f>SUMIFS('Stock In-Out'!D:D,'Stock In-Out'!B:B,"Opening Stock",'Stock In-Out'!A:A,Inventory!A212)</f>
        <v>0</v>
      </c>
      <c r="C212" s="8">
        <f>SUMIFS('Stock In-Out'!D:D,'Stock In-Out'!B:B,"In",'Stock In-Out'!A:A,Inventory!A212)</f>
        <v>0</v>
      </c>
      <c r="D212" s="8">
        <f>SUMIFS('Stock In-Out'!D:D,'Stock In-Out'!B:B,"Out",'Stock In-Out'!A:A,Inventory!A212)</f>
        <v>0</v>
      </c>
      <c r="E212" s="8">
        <f t="shared" si="4"/>
        <v>0</v>
      </c>
      <c r="F212" s="8" t="str">
        <f>IFERROR(VLOOKUP(A212,'Product Master'!D:N,10,0)*E212,"")</f>
        <v/>
      </c>
      <c r="G212" s="9" t="str">
        <f>IFERROR(VLOOKUP(A212,'Product Master'!D:N,11,0)*E212,"")</f>
        <v/>
      </c>
      <c r="H212" s="8">
        <f>SUMIFS('Product Master'!G:G,'Product Master'!D:D,Inventory!A212)+SUMIFS('Stock In-Out'!I:I,'Stock In-Out'!A:A,Inventory!A212)-SUMIFS('Stock In-Out'!J:J,'Stock In-Out'!A:A,Inventory!A212)</f>
        <v>0</v>
      </c>
      <c r="I212" s="8">
        <f>SUMIFS('Product Master'!H:H,'Product Master'!D:D,Inventory!A212)+SUMIFS('Stock In-Out'!K:K,'Stock In-Out'!A:A,Inventory!A212)-SUMIFS('Stock In-Out'!L:L,'Stock In-Out'!A:A,Inventory!A212)</f>
        <v>0</v>
      </c>
      <c r="J212" s="8">
        <f>SUMIFS('Product Master'!I:I,'Product Master'!D:D,Inventory!A212)+SUMIFS('Stock In-Out'!M:M,'Stock In-Out'!A:A,Inventory!A212)-SUMIFS('Stock In-Out'!N:N,'Stock In-Out'!A:A,Inventory!A212)</f>
        <v>0</v>
      </c>
      <c r="K212" s="8" t="str">
        <f>IFERROR(VLOOKUP(A212,'Product Master'!D:N,7,0),"")</f>
        <v/>
      </c>
      <c r="L212" s="6" t="str">
        <f>IFERROR(VLOOKUP(A212,'Product Master'!D209:F20208,3,0),"")</f>
        <v/>
      </c>
    </row>
    <row r="213" spans="1:12" x14ac:dyDescent="0.2">
      <c r="A213" s="1"/>
      <c r="B213" s="8">
        <f>SUMIFS('Stock In-Out'!D:D,'Stock In-Out'!B:B,"Opening Stock",'Stock In-Out'!A:A,Inventory!A213)</f>
        <v>0</v>
      </c>
      <c r="C213" s="8">
        <f>SUMIFS('Stock In-Out'!D:D,'Stock In-Out'!B:B,"In",'Stock In-Out'!A:A,Inventory!A213)</f>
        <v>0</v>
      </c>
      <c r="D213" s="8">
        <f>SUMIFS('Stock In-Out'!D:D,'Stock In-Out'!B:B,"Out",'Stock In-Out'!A:A,Inventory!A213)</f>
        <v>0</v>
      </c>
      <c r="E213" s="8">
        <f t="shared" si="4"/>
        <v>0</v>
      </c>
      <c r="F213" s="8" t="str">
        <f>IFERROR(VLOOKUP(A213,'Product Master'!D:N,10,0)*E213,"")</f>
        <v/>
      </c>
      <c r="G213" s="9" t="str">
        <f>IFERROR(VLOOKUP(A213,'Product Master'!D:N,11,0)*E213,"")</f>
        <v/>
      </c>
      <c r="H213" s="8">
        <f>SUMIFS('Product Master'!G:G,'Product Master'!D:D,Inventory!A213)+SUMIFS('Stock In-Out'!I:I,'Stock In-Out'!A:A,Inventory!A213)-SUMIFS('Stock In-Out'!J:J,'Stock In-Out'!A:A,Inventory!A213)</f>
        <v>0</v>
      </c>
      <c r="I213" s="8">
        <f>SUMIFS('Product Master'!H:H,'Product Master'!D:D,Inventory!A213)+SUMIFS('Stock In-Out'!K:K,'Stock In-Out'!A:A,Inventory!A213)-SUMIFS('Stock In-Out'!L:L,'Stock In-Out'!A:A,Inventory!A213)</f>
        <v>0</v>
      </c>
      <c r="J213" s="8">
        <f>SUMIFS('Product Master'!I:I,'Product Master'!D:D,Inventory!A213)+SUMIFS('Stock In-Out'!M:M,'Stock In-Out'!A:A,Inventory!A213)-SUMIFS('Stock In-Out'!N:N,'Stock In-Out'!A:A,Inventory!A213)</f>
        <v>0</v>
      </c>
      <c r="K213" s="8" t="str">
        <f>IFERROR(VLOOKUP(A213,'Product Master'!D:N,7,0),"")</f>
        <v/>
      </c>
      <c r="L213" s="6" t="str">
        <f>IFERROR(VLOOKUP(A213,'Product Master'!D210:F20209,3,0),"")</f>
        <v/>
      </c>
    </row>
    <row r="214" spans="1:12" x14ac:dyDescent="0.2">
      <c r="A214" s="1"/>
      <c r="B214" s="8">
        <f>SUMIFS('Stock In-Out'!D:D,'Stock In-Out'!B:B,"Opening Stock",'Stock In-Out'!A:A,Inventory!A214)</f>
        <v>0</v>
      </c>
      <c r="C214" s="8">
        <f>SUMIFS('Stock In-Out'!D:D,'Stock In-Out'!B:B,"In",'Stock In-Out'!A:A,Inventory!A214)</f>
        <v>0</v>
      </c>
      <c r="D214" s="8">
        <f>SUMIFS('Stock In-Out'!D:D,'Stock In-Out'!B:B,"Out",'Stock In-Out'!A:A,Inventory!A214)</f>
        <v>0</v>
      </c>
      <c r="E214" s="8">
        <f t="shared" si="4"/>
        <v>0</v>
      </c>
      <c r="F214" s="8" t="str">
        <f>IFERROR(VLOOKUP(A214,'Product Master'!D:N,10,0)*E214,"")</f>
        <v/>
      </c>
      <c r="G214" s="9" t="str">
        <f>IFERROR(VLOOKUP(A214,'Product Master'!D:N,11,0)*E214,"")</f>
        <v/>
      </c>
      <c r="H214" s="8">
        <f>SUMIFS('Product Master'!G:G,'Product Master'!D:D,Inventory!A214)+SUMIFS('Stock In-Out'!I:I,'Stock In-Out'!A:A,Inventory!A214)-SUMIFS('Stock In-Out'!J:J,'Stock In-Out'!A:A,Inventory!A214)</f>
        <v>0</v>
      </c>
      <c r="I214" s="8">
        <f>SUMIFS('Product Master'!H:H,'Product Master'!D:D,Inventory!A214)+SUMIFS('Stock In-Out'!K:K,'Stock In-Out'!A:A,Inventory!A214)-SUMIFS('Stock In-Out'!L:L,'Stock In-Out'!A:A,Inventory!A214)</f>
        <v>0</v>
      </c>
      <c r="J214" s="8">
        <f>SUMIFS('Product Master'!I:I,'Product Master'!D:D,Inventory!A214)+SUMIFS('Stock In-Out'!M:M,'Stock In-Out'!A:A,Inventory!A214)-SUMIFS('Stock In-Out'!N:N,'Stock In-Out'!A:A,Inventory!A214)</f>
        <v>0</v>
      </c>
      <c r="K214" s="8" t="str">
        <f>IFERROR(VLOOKUP(A214,'Product Master'!D:N,7,0),"")</f>
        <v/>
      </c>
      <c r="L214" s="6" t="str">
        <f>IFERROR(VLOOKUP(A214,'Product Master'!D211:F20210,3,0),"")</f>
        <v/>
      </c>
    </row>
    <row r="215" spans="1:12" x14ac:dyDescent="0.2">
      <c r="A215" s="1"/>
      <c r="B215" s="8">
        <f>SUMIFS('Stock In-Out'!D:D,'Stock In-Out'!B:B,"Opening Stock",'Stock In-Out'!A:A,Inventory!A215)</f>
        <v>0</v>
      </c>
      <c r="C215" s="8">
        <f>SUMIFS('Stock In-Out'!D:D,'Stock In-Out'!B:B,"In",'Stock In-Out'!A:A,Inventory!A215)</f>
        <v>0</v>
      </c>
      <c r="D215" s="8">
        <f>SUMIFS('Stock In-Out'!D:D,'Stock In-Out'!B:B,"Out",'Stock In-Out'!A:A,Inventory!A215)</f>
        <v>0</v>
      </c>
      <c r="E215" s="8">
        <f t="shared" si="4"/>
        <v>0</v>
      </c>
      <c r="F215" s="8" t="str">
        <f>IFERROR(VLOOKUP(A215,'Product Master'!D:N,10,0)*E215,"")</f>
        <v/>
      </c>
      <c r="G215" s="9" t="str">
        <f>IFERROR(VLOOKUP(A215,'Product Master'!D:N,11,0)*E215,"")</f>
        <v/>
      </c>
      <c r="H215" s="8">
        <f>SUMIFS('Product Master'!G:G,'Product Master'!D:D,Inventory!A215)+SUMIFS('Stock In-Out'!I:I,'Stock In-Out'!A:A,Inventory!A215)-SUMIFS('Stock In-Out'!J:J,'Stock In-Out'!A:A,Inventory!A215)</f>
        <v>0</v>
      </c>
      <c r="I215" s="8">
        <f>SUMIFS('Product Master'!H:H,'Product Master'!D:D,Inventory!A215)+SUMIFS('Stock In-Out'!K:K,'Stock In-Out'!A:A,Inventory!A215)-SUMIFS('Stock In-Out'!L:L,'Stock In-Out'!A:A,Inventory!A215)</f>
        <v>0</v>
      </c>
      <c r="J215" s="8">
        <f>SUMIFS('Product Master'!I:I,'Product Master'!D:D,Inventory!A215)+SUMIFS('Stock In-Out'!M:M,'Stock In-Out'!A:A,Inventory!A215)-SUMIFS('Stock In-Out'!N:N,'Stock In-Out'!A:A,Inventory!A215)</f>
        <v>0</v>
      </c>
      <c r="K215" s="8" t="str">
        <f>IFERROR(VLOOKUP(A215,'Product Master'!D:N,7,0),"")</f>
        <v/>
      </c>
      <c r="L215" s="6" t="str">
        <f>IFERROR(VLOOKUP(A215,'Product Master'!D212:F20211,3,0),"")</f>
        <v/>
      </c>
    </row>
    <row r="216" spans="1:12" x14ac:dyDescent="0.2">
      <c r="A216" s="1"/>
      <c r="B216" s="8">
        <f>SUMIFS('Stock In-Out'!D:D,'Stock In-Out'!B:B,"Opening Stock",'Stock In-Out'!A:A,Inventory!A216)</f>
        <v>0</v>
      </c>
      <c r="C216" s="8">
        <f>SUMIFS('Stock In-Out'!D:D,'Stock In-Out'!B:B,"In",'Stock In-Out'!A:A,Inventory!A216)</f>
        <v>0</v>
      </c>
      <c r="D216" s="8">
        <f>SUMIFS('Stock In-Out'!D:D,'Stock In-Out'!B:B,"Out",'Stock In-Out'!A:A,Inventory!A216)</f>
        <v>0</v>
      </c>
      <c r="E216" s="8">
        <f t="shared" si="4"/>
        <v>0</v>
      </c>
      <c r="F216" s="8" t="str">
        <f>IFERROR(VLOOKUP(A216,'Product Master'!D:N,10,0)*E216,"")</f>
        <v/>
      </c>
      <c r="G216" s="9" t="str">
        <f>IFERROR(VLOOKUP(A216,'Product Master'!D:N,11,0)*E216,"")</f>
        <v/>
      </c>
      <c r="H216" s="8">
        <f>SUMIFS('Product Master'!G:G,'Product Master'!D:D,Inventory!A216)+SUMIFS('Stock In-Out'!I:I,'Stock In-Out'!A:A,Inventory!A216)-SUMIFS('Stock In-Out'!J:J,'Stock In-Out'!A:A,Inventory!A216)</f>
        <v>0</v>
      </c>
      <c r="I216" s="8">
        <f>SUMIFS('Product Master'!H:H,'Product Master'!D:D,Inventory!A216)+SUMIFS('Stock In-Out'!K:K,'Stock In-Out'!A:A,Inventory!A216)-SUMIFS('Stock In-Out'!L:L,'Stock In-Out'!A:A,Inventory!A216)</f>
        <v>0</v>
      </c>
      <c r="J216" s="8">
        <f>SUMIFS('Product Master'!I:I,'Product Master'!D:D,Inventory!A216)+SUMIFS('Stock In-Out'!M:M,'Stock In-Out'!A:A,Inventory!A216)-SUMIFS('Stock In-Out'!N:N,'Stock In-Out'!A:A,Inventory!A216)</f>
        <v>0</v>
      </c>
      <c r="K216" s="8" t="str">
        <f>IFERROR(VLOOKUP(A216,'Product Master'!D:N,7,0),"")</f>
        <v/>
      </c>
      <c r="L216" s="6" t="str">
        <f>IFERROR(VLOOKUP(A216,'Product Master'!D213:F20212,3,0),"")</f>
        <v/>
      </c>
    </row>
    <row r="217" spans="1:12" x14ac:dyDescent="0.2">
      <c r="A217" s="1"/>
      <c r="B217" s="8">
        <f>SUMIFS('Stock In-Out'!D:D,'Stock In-Out'!B:B,"Opening Stock",'Stock In-Out'!A:A,Inventory!A217)</f>
        <v>0</v>
      </c>
      <c r="C217" s="8">
        <f>SUMIFS('Stock In-Out'!D:D,'Stock In-Out'!B:B,"In",'Stock In-Out'!A:A,Inventory!A217)</f>
        <v>0</v>
      </c>
      <c r="D217" s="8">
        <f>SUMIFS('Stock In-Out'!D:D,'Stock In-Out'!B:B,"Out",'Stock In-Out'!A:A,Inventory!A217)</f>
        <v>0</v>
      </c>
      <c r="E217" s="8">
        <f t="shared" si="4"/>
        <v>0</v>
      </c>
      <c r="F217" s="8" t="str">
        <f>IFERROR(VLOOKUP(A217,'Product Master'!D:N,10,0)*E217,"")</f>
        <v/>
      </c>
      <c r="G217" s="9" t="str">
        <f>IFERROR(VLOOKUP(A217,'Product Master'!D:N,11,0)*E217,"")</f>
        <v/>
      </c>
      <c r="H217" s="8">
        <f>SUMIFS('Product Master'!G:G,'Product Master'!D:D,Inventory!A217)+SUMIFS('Stock In-Out'!I:I,'Stock In-Out'!A:A,Inventory!A217)-SUMIFS('Stock In-Out'!J:J,'Stock In-Out'!A:A,Inventory!A217)</f>
        <v>0</v>
      </c>
      <c r="I217" s="8">
        <f>SUMIFS('Product Master'!H:H,'Product Master'!D:D,Inventory!A217)+SUMIFS('Stock In-Out'!K:K,'Stock In-Out'!A:A,Inventory!A217)-SUMIFS('Stock In-Out'!L:L,'Stock In-Out'!A:A,Inventory!A217)</f>
        <v>0</v>
      </c>
      <c r="J217" s="8">
        <f>SUMIFS('Product Master'!I:I,'Product Master'!D:D,Inventory!A217)+SUMIFS('Stock In-Out'!M:M,'Stock In-Out'!A:A,Inventory!A217)-SUMIFS('Stock In-Out'!N:N,'Stock In-Out'!A:A,Inventory!A217)</f>
        <v>0</v>
      </c>
      <c r="K217" s="8" t="str">
        <f>IFERROR(VLOOKUP(A217,'Product Master'!D:N,7,0),"")</f>
        <v/>
      </c>
      <c r="L217" s="6" t="str">
        <f>IFERROR(VLOOKUP(A217,'Product Master'!D214:F20213,3,0),"")</f>
        <v/>
      </c>
    </row>
    <row r="218" spans="1:12" x14ac:dyDescent="0.2">
      <c r="A218" s="1"/>
      <c r="B218" s="8">
        <f>SUMIFS('Stock In-Out'!D:D,'Stock In-Out'!B:B,"Opening Stock",'Stock In-Out'!A:A,Inventory!A218)</f>
        <v>0</v>
      </c>
      <c r="C218" s="8">
        <f>SUMIFS('Stock In-Out'!D:D,'Stock In-Out'!B:B,"In",'Stock In-Out'!A:A,Inventory!A218)</f>
        <v>0</v>
      </c>
      <c r="D218" s="8">
        <f>SUMIFS('Stock In-Out'!D:D,'Stock In-Out'!B:B,"Out",'Stock In-Out'!A:A,Inventory!A218)</f>
        <v>0</v>
      </c>
      <c r="E218" s="8">
        <f t="shared" si="4"/>
        <v>0</v>
      </c>
      <c r="F218" s="8" t="str">
        <f>IFERROR(VLOOKUP(A218,'Product Master'!D:N,10,0)*E218,"")</f>
        <v/>
      </c>
      <c r="G218" s="9" t="str">
        <f>IFERROR(VLOOKUP(A218,'Product Master'!D:N,11,0)*E218,"")</f>
        <v/>
      </c>
      <c r="H218" s="8">
        <f>SUMIFS('Product Master'!G:G,'Product Master'!D:D,Inventory!A218)+SUMIFS('Stock In-Out'!I:I,'Stock In-Out'!A:A,Inventory!A218)-SUMIFS('Stock In-Out'!J:J,'Stock In-Out'!A:A,Inventory!A218)</f>
        <v>0</v>
      </c>
      <c r="I218" s="8">
        <f>SUMIFS('Product Master'!H:H,'Product Master'!D:D,Inventory!A218)+SUMIFS('Stock In-Out'!K:K,'Stock In-Out'!A:A,Inventory!A218)-SUMIFS('Stock In-Out'!L:L,'Stock In-Out'!A:A,Inventory!A218)</f>
        <v>0</v>
      </c>
      <c r="J218" s="8">
        <f>SUMIFS('Product Master'!I:I,'Product Master'!D:D,Inventory!A218)+SUMIFS('Stock In-Out'!M:M,'Stock In-Out'!A:A,Inventory!A218)-SUMIFS('Stock In-Out'!N:N,'Stock In-Out'!A:A,Inventory!A218)</f>
        <v>0</v>
      </c>
      <c r="K218" s="8" t="str">
        <f>IFERROR(VLOOKUP(A218,'Product Master'!D:N,7,0),"")</f>
        <v/>
      </c>
      <c r="L218" s="6" t="str">
        <f>IFERROR(VLOOKUP(A218,'Product Master'!D215:F20214,3,0),"")</f>
        <v/>
      </c>
    </row>
    <row r="219" spans="1:12" x14ac:dyDescent="0.2">
      <c r="A219" s="1"/>
      <c r="B219" s="8">
        <f>SUMIFS('Stock In-Out'!D:D,'Stock In-Out'!B:B,"Opening Stock",'Stock In-Out'!A:A,Inventory!A219)</f>
        <v>0</v>
      </c>
      <c r="C219" s="8">
        <f>SUMIFS('Stock In-Out'!D:D,'Stock In-Out'!B:B,"In",'Stock In-Out'!A:A,Inventory!A219)</f>
        <v>0</v>
      </c>
      <c r="D219" s="8">
        <f>SUMIFS('Stock In-Out'!D:D,'Stock In-Out'!B:B,"Out",'Stock In-Out'!A:A,Inventory!A219)</f>
        <v>0</v>
      </c>
      <c r="E219" s="8">
        <f t="shared" si="4"/>
        <v>0</v>
      </c>
      <c r="F219" s="8" t="str">
        <f>IFERROR(VLOOKUP(A219,'Product Master'!D:N,10,0)*E219,"")</f>
        <v/>
      </c>
      <c r="G219" s="9" t="str">
        <f>IFERROR(VLOOKUP(A219,'Product Master'!D:N,11,0)*E219,"")</f>
        <v/>
      </c>
      <c r="H219" s="8">
        <f>SUMIFS('Product Master'!G:G,'Product Master'!D:D,Inventory!A219)+SUMIFS('Stock In-Out'!I:I,'Stock In-Out'!A:A,Inventory!A219)-SUMIFS('Stock In-Out'!J:J,'Stock In-Out'!A:A,Inventory!A219)</f>
        <v>0</v>
      </c>
      <c r="I219" s="8">
        <f>SUMIFS('Product Master'!H:H,'Product Master'!D:D,Inventory!A219)+SUMIFS('Stock In-Out'!K:K,'Stock In-Out'!A:A,Inventory!A219)-SUMIFS('Stock In-Out'!L:L,'Stock In-Out'!A:A,Inventory!A219)</f>
        <v>0</v>
      </c>
      <c r="J219" s="8">
        <f>SUMIFS('Product Master'!I:I,'Product Master'!D:D,Inventory!A219)+SUMIFS('Stock In-Out'!M:M,'Stock In-Out'!A:A,Inventory!A219)-SUMIFS('Stock In-Out'!N:N,'Stock In-Out'!A:A,Inventory!A219)</f>
        <v>0</v>
      </c>
      <c r="K219" s="8" t="str">
        <f>IFERROR(VLOOKUP(A219,'Product Master'!D:N,7,0),"")</f>
        <v/>
      </c>
      <c r="L219" s="6" t="str">
        <f>IFERROR(VLOOKUP(A219,'Product Master'!D216:F20215,3,0),"")</f>
        <v/>
      </c>
    </row>
    <row r="220" spans="1:12" x14ac:dyDescent="0.2">
      <c r="A220" s="1"/>
      <c r="B220" s="8">
        <f>SUMIFS('Stock In-Out'!D:D,'Stock In-Out'!B:B,"Opening Stock",'Stock In-Out'!A:A,Inventory!A220)</f>
        <v>0</v>
      </c>
      <c r="C220" s="8">
        <f>SUMIFS('Stock In-Out'!D:D,'Stock In-Out'!B:B,"In",'Stock In-Out'!A:A,Inventory!A220)</f>
        <v>0</v>
      </c>
      <c r="D220" s="8">
        <f>SUMIFS('Stock In-Out'!D:D,'Stock In-Out'!B:B,"Out",'Stock In-Out'!A:A,Inventory!A220)</f>
        <v>0</v>
      </c>
      <c r="E220" s="8">
        <f t="shared" si="4"/>
        <v>0</v>
      </c>
      <c r="F220" s="8" t="str">
        <f>IFERROR(VLOOKUP(A220,'Product Master'!D:N,10,0)*E220,"")</f>
        <v/>
      </c>
      <c r="G220" s="9" t="str">
        <f>IFERROR(VLOOKUP(A220,'Product Master'!D:N,11,0)*E220,"")</f>
        <v/>
      </c>
      <c r="H220" s="8">
        <f>SUMIFS('Product Master'!G:G,'Product Master'!D:D,Inventory!A220)+SUMIFS('Stock In-Out'!I:I,'Stock In-Out'!A:A,Inventory!A220)-SUMIFS('Stock In-Out'!J:J,'Stock In-Out'!A:A,Inventory!A220)</f>
        <v>0</v>
      </c>
      <c r="I220" s="8">
        <f>SUMIFS('Product Master'!H:H,'Product Master'!D:D,Inventory!A220)+SUMIFS('Stock In-Out'!K:K,'Stock In-Out'!A:A,Inventory!A220)-SUMIFS('Stock In-Out'!L:L,'Stock In-Out'!A:A,Inventory!A220)</f>
        <v>0</v>
      </c>
      <c r="J220" s="8">
        <f>SUMIFS('Product Master'!I:I,'Product Master'!D:D,Inventory!A220)+SUMIFS('Stock In-Out'!M:M,'Stock In-Out'!A:A,Inventory!A220)-SUMIFS('Stock In-Out'!N:N,'Stock In-Out'!A:A,Inventory!A220)</f>
        <v>0</v>
      </c>
      <c r="K220" s="8" t="str">
        <f>IFERROR(VLOOKUP(A220,'Product Master'!D:N,7,0),"")</f>
        <v/>
      </c>
      <c r="L220" s="6" t="str">
        <f>IFERROR(VLOOKUP(A220,'Product Master'!D217:F20216,3,0),"")</f>
        <v/>
      </c>
    </row>
    <row r="221" spans="1:12" x14ac:dyDescent="0.2">
      <c r="A221" s="1"/>
      <c r="B221" s="8">
        <f>SUMIFS('Stock In-Out'!D:D,'Stock In-Out'!B:B,"Opening Stock",'Stock In-Out'!A:A,Inventory!A221)</f>
        <v>0</v>
      </c>
      <c r="C221" s="8">
        <f>SUMIFS('Stock In-Out'!D:D,'Stock In-Out'!B:B,"In",'Stock In-Out'!A:A,Inventory!A221)</f>
        <v>0</v>
      </c>
      <c r="D221" s="8">
        <f>SUMIFS('Stock In-Out'!D:D,'Stock In-Out'!B:B,"Out",'Stock In-Out'!A:A,Inventory!A221)</f>
        <v>0</v>
      </c>
      <c r="E221" s="8">
        <f t="shared" si="4"/>
        <v>0</v>
      </c>
      <c r="F221" s="8" t="str">
        <f>IFERROR(VLOOKUP(A221,'Product Master'!D:N,10,0)*E221,"")</f>
        <v/>
      </c>
      <c r="G221" s="9" t="str">
        <f>IFERROR(VLOOKUP(A221,'Product Master'!D:N,11,0)*E221,"")</f>
        <v/>
      </c>
      <c r="H221" s="8">
        <f>SUMIFS('Product Master'!G:G,'Product Master'!D:D,Inventory!A221)+SUMIFS('Stock In-Out'!I:I,'Stock In-Out'!A:A,Inventory!A221)-SUMIFS('Stock In-Out'!J:J,'Stock In-Out'!A:A,Inventory!A221)</f>
        <v>0</v>
      </c>
      <c r="I221" s="8">
        <f>SUMIFS('Product Master'!H:H,'Product Master'!D:D,Inventory!A221)+SUMIFS('Stock In-Out'!K:K,'Stock In-Out'!A:A,Inventory!A221)-SUMIFS('Stock In-Out'!L:L,'Stock In-Out'!A:A,Inventory!A221)</f>
        <v>0</v>
      </c>
      <c r="J221" s="8">
        <f>SUMIFS('Product Master'!I:I,'Product Master'!D:D,Inventory!A221)+SUMIFS('Stock In-Out'!M:M,'Stock In-Out'!A:A,Inventory!A221)-SUMIFS('Stock In-Out'!N:N,'Stock In-Out'!A:A,Inventory!A221)</f>
        <v>0</v>
      </c>
      <c r="K221" s="8" t="str">
        <f>IFERROR(VLOOKUP(A221,'Product Master'!D:N,7,0),"")</f>
        <v/>
      </c>
      <c r="L221" s="6" t="str">
        <f>IFERROR(VLOOKUP(A221,'Product Master'!D218:F20217,3,0),"")</f>
        <v/>
      </c>
    </row>
    <row r="222" spans="1:12" x14ac:dyDescent="0.2">
      <c r="A222" s="1"/>
      <c r="B222" s="8">
        <f>SUMIFS('Stock In-Out'!D:D,'Stock In-Out'!B:B,"Opening Stock",'Stock In-Out'!A:A,Inventory!A222)</f>
        <v>0</v>
      </c>
      <c r="C222" s="8">
        <f>SUMIFS('Stock In-Out'!D:D,'Stock In-Out'!B:B,"In",'Stock In-Out'!A:A,Inventory!A222)</f>
        <v>0</v>
      </c>
      <c r="D222" s="8">
        <f>SUMIFS('Stock In-Out'!D:D,'Stock In-Out'!B:B,"Out",'Stock In-Out'!A:A,Inventory!A222)</f>
        <v>0</v>
      </c>
      <c r="E222" s="8">
        <f t="shared" si="4"/>
        <v>0</v>
      </c>
      <c r="F222" s="8" t="str">
        <f>IFERROR(VLOOKUP(A222,'Product Master'!D:N,10,0)*E222,"")</f>
        <v/>
      </c>
      <c r="G222" s="9" t="str">
        <f>IFERROR(VLOOKUP(A222,'Product Master'!D:N,11,0)*E222,"")</f>
        <v/>
      </c>
      <c r="H222" s="8">
        <f>SUMIFS('Product Master'!G:G,'Product Master'!D:D,Inventory!A222)+SUMIFS('Stock In-Out'!I:I,'Stock In-Out'!A:A,Inventory!A222)-SUMIFS('Stock In-Out'!J:J,'Stock In-Out'!A:A,Inventory!A222)</f>
        <v>0</v>
      </c>
      <c r="I222" s="8">
        <f>SUMIFS('Product Master'!H:H,'Product Master'!D:D,Inventory!A222)+SUMIFS('Stock In-Out'!K:K,'Stock In-Out'!A:A,Inventory!A222)-SUMIFS('Stock In-Out'!L:L,'Stock In-Out'!A:A,Inventory!A222)</f>
        <v>0</v>
      </c>
      <c r="J222" s="8">
        <f>SUMIFS('Product Master'!I:I,'Product Master'!D:D,Inventory!A222)+SUMIFS('Stock In-Out'!M:M,'Stock In-Out'!A:A,Inventory!A222)-SUMIFS('Stock In-Out'!N:N,'Stock In-Out'!A:A,Inventory!A222)</f>
        <v>0</v>
      </c>
      <c r="K222" s="8" t="str">
        <f>IFERROR(VLOOKUP(A222,'Product Master'!D:N,7,0),"")</f>
        <v/>
      </c>
      <c r="L222" s="6" t="str">
        <f>IFERROR(VLOOKUP(A222,'Product Master'!D219:F20218,3,0),"")</f>
        <v/>
      </c>
    </row>
    <row r="223" spans="1:12" x14ac:dyDescent="0.2">
      <c r="A223" s="1"/>
      <c r="B223" s="8">
        <f>SUMIFS('Stock In-Out'!D:D,'Stock In-Out'!B:B,"Opening Stock",'Stock In-Out'!A:A,Inventory!A223)</f>
        <v>0</v>
      </c>
      <c r="C223" s="8">
        <f>SUMIFS('Stock In-Out'!D:D,'Stock In-Out'!B:B,"In",'Stock In-Out'!A:A,Inventory!A223)</f>
        <v>0</v>
      </c>
      <c r="D223" s="8">
        <f>SUMIFS('Stock In-Out'!D:D,'Stock In-Out'!B:B,"Out",'Stock In-Out'!A:A,Inventory!A223)</f>
        <v>0</v>
      </c>
      <c r="E223" s="8">
        <f t="shared" si="4"/>
        <v>0</v>
      </c>
      <c r="F223" s="8" t="str">
        <f>IFERROR(VLOOKUP(A223,'Product Master'!D:N,10,0)*E223,"")</f>
        <v/>
      </c>
      <c r="G223" s="9" t="str">
        <f>IFERROR(VLOOKUP(A223,'Product Master'!D:N,11,0)*E223,"")</f>
        <v/>
      </c>
      <c r="H223" s="8">
        <f>SUMIFS('Product Master'!G:G,'Product Master'!D:D,Inventory!A223)+SUMIFS('Stock In-Out'!I:I,'Stock In-Out'!A:A,Inventory!A223)-SUMIFS('Stock In-Out'!J:J,'Stock In-Out'!A:A,Inventory!A223)</f>
        <v>0</v>
      </c>
      <c r="I223" s="8">
        <f>SUMIFS('Product Master'!H:H,'Product Master'!D:D,Inventory!A223)+SUMIFS('Stock In-Out'!K:K,'Stock In-Out'!A:A,Inventory!A223)-SUMIFS('Stock In-Out'!L:L,'Stock In-Out'!A:A,Inventory!A223)</f>
        <v>0</v>
      </c>
      <c r="J223" s="8">
        <f>SUMIFS('Product Master'!I:I,'Product Master'!D:D,Inventory!A223)+SUMIFS('Stock In-Out'!M:M,'Stock In-Out'!A:A,Inventory!A223)-SUMIFS('Stock In-Out'!N:N,'Stock In-Out'!A:A,Inventory!A223)</f>
        <v>0</v>
      </c>
      <c r="K223" s="8" t="str">
        <f>IFERROR(VLOOKUP(A223,'Product Master'!D:N,7,0),"")</f>
        <v/>
      </c>
      <c r="L223" s="6" t="str">
        <f>IFERROR(VLOOKUP(A223,'Product Master'!D220:F20219,3,0),"")</f>
        <v/>
      </c>
    </row>
    <row r="224" spans="1:12" x14ac:dyDescent="0.2">
      <c r="A224" s="1"/>
      <c r="B224" s="8">
        <f>SUMIFS('Stock In-Out'!D:D,'Stock In-Out'!B:B,"Opening Stock",'Stock In-Out'!A:A,Inventory!A224)</f>
        <v>0</v>
      </c>
      <c r="C224" s="8">
        <f>SUMIFS('Stock In-Out'!D:D,'Stock In-Out'!B:B,"In",'Stock In-Out'!A:A,Inventory!A224)</f>
        <v>0</v>
      </c>
      <c r="D224" s="8">
        <f>SUMIFS('Stock In-Out'!D:D,'Stock In-Out'!B:B,"Out",'Stock In-Out'!A:A,Inventory!A224)</f>
        <v>0</v>
      </c>
      <c r="E224" s="8">
        <f t="shared" si="4"/>
        <v>0</v>
      </c>
      <c r="F224" s="8" t="str">
        <f>IFERROR(VLOOKUP(A224,'Product Master'!D:N,10,0)*E224,"")</f>
        <v/>
      </c>
      <c r="G224" s="9" t="str">
        <f>IFERROR(VLOOKUP(A224,'Product Master'!D:N,11,0)*E224,"")</f>
        <v/>
      </c>
      <c r="H224" s="8">
        <f>SUMIFS('Product Master'!G:G,'Product Master'!D:D,Inventory!A224)+SUMIFS('Stock In-Out'!I:I,'Stock In-Out'!A:A,Inventory!A224)-SUMIFS('Stock In-Out'!J:J,'Stock In-Out'!A:A,Inventory!A224)</f>
        <v>0</v>
      </c>
      <c r="I224" s="8">
        <f>SUMIFS('Product Master'!H:H,'Product Master'!D:D,Inventory!A224)+SUMIFS('Stock In-Out'!K:K,'Stock In-Out'!A:A,Inventory!A224)-SUMIFS('Stock In-Out'!L:L,'Stock In-Out'!A:A,Inventory!A224)</f>
        <v>0</v>
      </c>
      <c r="J224" s="8">
        <f>SUMIFS('Product Master'!I:I,'Product Master'!D:D,Inventory!A224)+SUMIFS('Stock In-Out'!M:M,'Stock In-Out'!A:A,Inventory!A224)-SUMIFS('Stock In-Out'!N:N,'Stock In-Out'!A:A,Inventory!A224)</f>
        <v>0</v>
      </c>
      <c r="K224" s="8" t="str">
        <f>IFERROR(VLOOKUP(A224,'Product Master'!D:N,7,0),"")</f>
        <v/>
      </c>
      <c r="L224" s="6" t="str">
        <f>IFERROR(VLOOKUP(A224,'Product Master'!D221:F20220,3,0),"")</f>
        <v/>
      </c>
    </row>
    <row r="225" spans="1:12" x14ac:dyDescent="0.2">
      <c r="A225" s="1"/>
      <c r="B225" s="8">
        <f>SUMIFS('Stock In-Out'!D:D,'Stock In-Out'!B:B,"Opening Stock",'Stock In-Out'!A:A,Inventory!A225)</f>
        <v>0</v>
      </c>
      <c r="C225" s="8">
        <f>SUMIFS('Stock In-Out'!D:D,'Stock In-Out'!B:B,"In",'Stock In-Out'!A:A,Inventory!A225)</f>
        <v>0</v>
      </c>
      <c r="D225" s="8">
        <f>SUMIFS('Stock In-Out'!D:D,'Stock In-Out'!B:B,"Out",'Stock In-Out'!A:A,Inventory!A225)</f>
        <v>0</v>
      </c>
      <c r="E225" s="8">
        <f t="shared" si="4"/>
        <v>0</v>
      </c>
      <c r="F225" s="8" t="str">
        <f>IFERROR(VLOOKUP(A225,'Product Master'!D:N,10,0)*E225,"")</f>
        <v/>
      </c>
      <c r="G225" s="9" t="str">
        <f>IFERROR(VLOOKUP(A225,'Product Master'!D:N,11,0)*E225,"")</f>
        <v/>
      </c>
      <c r="H225" s="8">
        <f>SUMIFS('Product Master'!G:G,'Product Master'!D:D,Inventory!A225)+SUMIFS('Stock In-Out'!I:I,'Stock In-Out'!A:A,Inventory!A225)-SUMIFS('Stock In-Out'!J:J,'Stock In-Out'!A:A,Inventory!A225)</f>
        <v>0</v>
      </c>
      <c r="I225" s="8">
        <f>SUMIFS('Product Master'!H:H,'Product Master'!D:D,Inventory!A225)+SUMIFS('Stock In-Out'!K:K,'Stock In-Out'!A:A,Inventory!A225)-SUMIFS('Stock In-Out'!L:L,'Stock In-Out'!A:A,Inventory!A225)</f>
        <v>0</v>
      </c>
      <c r="J225" s="8">
        <f>SUMIFS('Product Master'!I:I,'Product Master'!D:D,Inventory!A225)+SUMIFS('Stock In-Out'!M:M,'Stock In-Out'!A:A,Inventory!A225)-SUMIFS('Stock In-Out'!N:N,'Stock In-Out'!A:A,Inventory!A225)</f>
        <v>0</v>
      </c>
      <c r="K225" s="8" t="str">
        <f>IFERROR(VLOOKUP(A225,'Product Master'!D:N,7,0),"")</f>
        <v/>
      </c>
      <c r="L225" s="6" t="str">
        <f>IFERROR(VLOOKUP(A225,'Product Master'!D222:F20221,3,0),"")</f>
        <v/>
      </c>
    </row>
    <row r="226" spans="1:12" x14ac:dyDescent="0.2">
      <c r="A226" s="1"/>
      <c r="B226" s="8">
        <f>SUMIFS('Stock In-Out'!D:D,'Stock In-Out'!B:B,"Opening Stock",'Stock In-Out'!A:A,Inventory!A226)</f>
        <v>0</v>
      </c>
      <c r="C226" s="8">
        <f>SUMIFS('Stock In-Out'!D:D,'Stock In-Out'!B:B,"In",'Stock In-Out'!A:A,Inventory!A226)</f>
        <v>0</v>
      </c>
      <c r="D226" s="8">
        <f>SUMIFS('Stock In-Out'!D:D,'Stock In-Out'!B:B,"Out",'Stock In-Out'!A:A,Inventory!A226)</f>
        <v>0</v>
      </c>
      <c r="E226" s="8">
        <f t="shared" si="4"/>
        <v>0</v>
      </c>
      <c r="F226" s="8" t="str">
        <f>IFERROR(VLOOKUP(A226,'Product Master'!D:N,10,0)*E226,"")</f>
        <v/>
      </c>
      <c r="G226" s="9" t="str">
        <f>IFERROR(VLOOKUP(A226,'Product Master'!D:N,11,0)*E226,"")</f>
        <v/>
      </c>
      <c r="H226" s="8">
        <f>SUMIFS('Product Master'!G:G,'Product Master'!D:D,Inventory!A226)+SUMIFS('Stock In-Out'!I:I,'Stock In-Out'!A:A,Inventory!A226)-SUMIFS('Stock In-Out'!J:J,'Stock In-Out'!A:A,Inventory!A226)</f>
        <v>0</v>
      </c>
      <c r="I226" s="8">
        <f>SUMIFS('Product Master'!H:H,'Product Master'!D:D,Inventory!A226)+SUMIFS('Stock In-Out'!K:K,'Stock In-Out'!A:A,Inventory!A226)-SUMIFS('Stock In-Out'!L:L,'Stock In-Out'!A:A,Inventory!A226)</f>
        <v>0</v>
      </c>
      <c r="J226" s="8">
        <f>SUMIFS('Product Master'!I:I,'Product Master'!D:D,Inventory!A226)+SUMIFS('Stock In-Out'!M:M,'Stock In-Out'!A:A,Inventory!A226)-SUMIFS('Stock In-Out'!N:N,'Stock In-Out'!A:A,Inventory!A226)</f>
        <v>0</v>
      </c>
      <c r="K226" s="8" t="str">
        <f>IFERROR(VLOOKUP(A226,'Product Master'!D:N,7,0),"")</f>
        <v/>
      </c>
      <c r="L226" s="6" t="str">
        <f>IFERROR(VLOOKUP(A226,'Product Master'!D223:F20222,3,0),"")</f>
        <v/>
      </c>
    </row>
    <row r="227" spans="1:12" x14ac:dyDescent="0.2">
      <c r="A227" s="1"/>
      <c r="B227" s="8">
        <f>SUMIFS('Stock In-Out'!D:D,'Stock In-Out'!B:B,"Opening Stock",'Stock In-Out'!A:A,Inventory!A227)</f>
        <v>0</v>
      </c>
      <c r="C227" s="8">
        <f>SUMIFS('Stock In-Out'!D:D,'Stock In-Out'!B:B,"In",'Stock In-Out'!A:A,Inventory!A227)</f>
        <v>0</v>
      </c>
      <c r="D227" s="8">
        <f>SUMIFS('Stock In-Out'!D:D,'Stock In-Out'!B:B,"Out",'Stock In-Out'!A:A,Inventory!A227)</f>
        <v>0</v>
      </c>
      <c r="E227" s="8">
        <f t="shared" si="4"/>
        <v>0</v>
      </c>
      <c r="F227" s="8" t="str">
        <f>IFERROR(VLOOKUP(A227,'Product Master'!D:N,10,0)*E227,"")</f>
        <v/>
      </c>
      <c r="G227" s="9" t="str">
        <f>IFERROR(VLOOKUP(A227,'Product Master'!D:N,11,0)*E227,"")</f>
        <v/>
      </c>
      <c r="H227" s="8">
        <f>SUMIFS('Product Master'!G:G,'Product Master'!D:D,Inventory!A227)+SUMIFS('Stock In-Out'!I:I,'Stock In-Out'!A:A,Inventory!A227)-SUMIFS('Stock In-Out'!J:J,'Stock In-Out'!A:A,Inventory!A227)</f>
        <v>0</v>
      </c>
      <c r="I227" s="8">
        <f>SUMIFS('Product Master'!H:H,'Product Master'!D:D,Inventory!A227)+SUMIFS('Stock In-Out'!K:K,'Stock In-Out'!A:A,Inventory!A227)-SUMIFS('Stock In-Out'!L:L,'Stock In-Out'!A:A,Inventory!A227)</f>
        <v>0</v>
      </c>
      <c r="J227" s="8">
        <f>SUMIFS('Product Master'!I:I,'Product Master'!D:D,Inventory!A227)+SUMIFS('Stock In-Out'!M:M,'Stock In-Out'!A:A,Inventory!A227)-SUMIFS('Stock In-Out'!N:N,'Stock In-Out'!A:A,Inventory!A227)</f>
        <v>0</v>
      </c>
      <c r="K227" s="8" t="str">
        <f>IFERROR(VLOOKUP(A227,'Product Master'!D:N,7,0),"")</f>
        <v/>
      </c>
      <c r="L227" s="6" t="str">
        <f>IFERROR(VLOOKUP(A227,'Product Master'!D224:F20223,3,0),"")</f>
        <v/>
      </c>
    </row>
    <row r="228" spans="1:12" x14ac:dyDescent="0.2">
      <c r="A228" s="1"/>
      <c r="B228" s="8">
        <f>SUMIFS('Stock In-Out'!D:D,'Stock In-Out'!B:B,"Opening Stock",'Stock In-Out'!A:A,Inventory!A228)</f>
        <v>0</v>
      </c>
      <c r="C228" s="8">
        <f>SUMIFS('Stock In-Out'!D:D,'Stock In-Out'!B:B,"In",'Stock In-Out'!A:A,Inventory!A228)</f>
        <v>0</v>
      </c>
      <c r="D228" s="8">
        <f>SUMIFS('Stock In-Out'!D:D,'Stock In-Out'!B:B,"Out",'Stock In-Out'!A:A,Inventory!A228)</f>
        <v>0</v>
      </c>
      <c r="E228" s="8">
        <f t="shared" si="4"/>
        <v>0</v>
      </c>
      <c r="F228" s="8" t="str">
        <f>IFERROR(VLOOKUP(A228,'Product Master'!D:N,10,0)*E228,"")</f>
        <v/>
      </c>
      <c r="G228" s="9" t="str">
        <f>IFERROR(VLOOKUP(A228,'Product Master'!D:N,11,0)*E228,"")</f>
        <v/>
      </c>
      <c r="H228" s="8">
        <f>SUMIFS('Product Master'!G:G,'Product Master'!D:D,Inventory!A228)+SUMIFS('Stock In-Out'!I:I,'Stock In-Out'!A:A,Inventory!A228)-SUMIFS('Stock In-Out'!J:J,'Stock In-Out'!A:A,Inventory!A228)</f>
        <v>0</v>
      </c>
      <c r="I228" s="8">
        <f>SUMIFS('Product Master'!H:H,'Product Master'!D:D,Inventory!A228)+SUMIFS('Stock In-Out'!K:K,'Stock In-Out'!A:A,Inventory!A228)-SUMIFS('Stock In-Out'!L:L,'Stock In-Out'!A:A,Inventory!A228)</f>
        <v>0</v>
      </c>
      <c r="J228" s="8">
        <f>SUMIFS('Product Master'!I:I,'Product Master'!D:D,Inventory!A228)+SUMIFS('Stock In-Out'!M:M,'Stock In-Out'!A:A,Inventory!A228)-SUMIFS('Stock In-Out'!N:N,'Stock In-Out'!A:A,Inventory!A228)</f>
        <v>0</v>
      </c>
      <c r="K228" s="8" t="str">
        <f>IFERROR(VLOOKUP(A228,'Product Master'!D:N,7,0),"")</f>
        <v/>
      </c>
      <c r="L228" s="6" t="str">
        <f>IFERROR(VLOOKUP(A228,'Product Master'!D225:F20224,3,0),"")</f>
        <v/>
      </c>
    </row>
    <row r="229" spans="1:12" x14ac:dyDescent="0.2">
      <c r="A229" s="1"/>
      <c r="B229" s="8">
        <f>SUMIFS('Stock In-Out'!D:D,'Stock In-Out'!B:B,"Opening Stock",'Stock In-Out'!A:A,Inventory!A229)</f>
        <v>0</v>
      </c>
      <c r="C229" s="8">
        <f>SUMIFS('Stock In-Out'!D:D,'Stock In-Out'!B:B,"In",'Stock In-Out'!A:A,Inventory!A229)</f>
        <v>0</v>
      </c>
      <c r="D229" s="8">
        <f>SUMIFS('Stock In-Out'!D:D,'Stock In-Out'!B:B,"Out",'Stock In-Out'!A:A,Inventory!A229)</f>
        <v>0</v>
      </c>
      <c r="E229" s="8">
        <f t="shared" si="4"/>
        <v>0</v>
      </c>
      <c r="F229" s="8" t="str">
        <f>IFERROR(VLOOKUP(A229,'Product Master'!D:N,10,0)*E229,"")</f>
        <v/>
      </c>
      <c r="G229" s="9" t="str">
        <f>IFERROR(VLOOKUP(A229,'Product Master'!D:N,11,0)*E229,"")</f>
        <v/>
      </c>
      <c r="H229" s="8">
        <f>SUMIFS('Product Master'!G:G,'Product Master'!D:D,Inventory!A229)+SUMIFS('Stock In-Out'!I:I,'Stock In-Out'!A:A,Inventory!A229)-SUMIFS('Stock In-Out'!J:J,'Stock In-Out'!A:A,Inventory!A229)</f>
        <v>0</v>
      </c>
      <c r="I229" s="8">
        <f>SUMIFS('Product Master'!H:H,'Product Master'!D:D,Inventory!A229)+SUMIFS('Stock In-Out'!K:K,'Stock In-Out'!A:A,Inventory!A229)-SUMIFS('Stock In-Out'!L:L,'Stock In-Out'!A:A,Inventory!A229)</f>
        <v>0</v>
      </c>
      <c r="J229" s="8">
        <f>SUMIFS('Product Master'!I:I,'Product Master'!D:D,Inventory!A229)+SUMIFS('Stock In-Out'!M:M,'Stock In-Out'!A:A,Inventory!A229)-SUMIFS('Stock In-Out'!N:N,'Stock In-Out'!A:A,Inventory!A229)</f>
        <v>0</v>
      </c>
      <c r="K229" s="8" t="str">
        <f>IFERROR(VLOOKUP(A229,'Product Master'!D:N,7,0),"")</f>
        <v/>
      </c>
      <c r="L229" s="6" t="str">
        <f>IFERROR(VLOOKUP(A229,'Product Master'!D226:F20225,3,0),"")</f>
        <v/>
      </c>
    </row>
    <row r="230" spans="1:12" x14ac:dyDescent="0.2">
      <c r="A230" s="1"/>
      <c r="B230" s="8">
        <f>SUMIFS('Stock In-Out'!D:D,'Stock In-Out'!B:B,"Opening Stock",'Stock In-Out'!A:A,Inventory!A230)</f>
        <v>0</v>
      </c>
      <c r="C230" s="8">
        <f>SUMIFS('Stock In-Out'!D:D,'Stock In-Out'!B:B,"In",'Stock In-Out'!A:A,Inventory!A230)</f>
        <v>0</v>
      </c>
      <c r="D230" s="8">
        <f>SUMIFS('Stock In-Out'!D:D,'Stock In-Out'!B:B,"Out",'Stock In-Out'!A:A,Inventory!A230)</f>
        <v>0</v>
      </c>
      <c r="E230" s="8">
        <f t="shared" si="4"/>
        <v>0</v>
      </c>
      <c r="F230" s="8" t="str">
        <f>IFERROR(VLOOKUP(A230,'Product Master'!D:N,10,0)*E230,"")</f>
        <v/>
      </c>
      <c r="G230" s="9" t="str">
        <f>IFERROR(VLOOKUP(A230,'Product Master'!D:N,11,0)*E230,"")</f>
        <v/>
      </c>
      <c r="H230" s="8">
        <f>SUMIFS('Product Master'!G:G,'Product Master'!D:D,Inventory!A230)+SUMIFS('Stock In-Out'!I:I,'Stock In-Out'!A:A,Inventory!A230)-SUMIFS('Stock In-Out'!J:J,'Stock In-Out'!A:A,Inventory!A230)</f>
        <v>0</v>
      </c>
      <c r="I230" s="8">
        <f>SUMIFS('Product Master'!H:H,'Product Master'!D:D,Inventory!A230)+SUMIFS('Stock In-Out'!K:K,'Stock In-Out'!A:A,Inventory!A230)-SUMIFS('Stock In-Out'!L:L,'Stock In-Out'!A:A,Inventory!A230)</f>
        <v>0</v>
      </c>
      <c r="J230" s="8">
        <f>SUMIFS('Product Master'!I:I,'Product Master'!D:D,Inventory!A230)+SUMIFS('Stock In-Out'!M:M,'Stock In-Out'!A:A,Inventory!A230)-SUMIFS('Stock In-Out'!N:N,'Stock In-Out'!A:A,Inventory!A230)</f>
        <v>0</v>
      </c>
      <c r="K230" s="8" t="str">
        <f>IFERROR(VLOOKUP(A230,'Product Master'!D:N,7,0),"")</f>
        <v/>
      </c>
      <c r="L230" s="6" t="str">
        <f>IFERROR(VLOOKUP(A230,'Product Master'!D227:F20226,3,0),"")</f>
        <v/>
      </c>
    </row>
    <row r="231" spans="1:12" x14ac:dyDescent="0.2">
      <c r="A231" s="1"/>
      <c r="B231" s="8">
        <f>SUMIFS('Stock In-Out'!D:D,'Stock In-Out'!B:B,"Opening Stock",'Stock In-Out'!A:A,Inventory!A231)</f>
        <v>0</v>
      </c>
      <c r="C231" s="8">
        <f>SUMIFS('Stock In-Out'!D:D,'Stock In-Out'!B:B,"In",'Stock In-Out'!A:A,Inventory!A231)</f>
        <v>0</v>
      </c>
      <c r="D231" s="8">
        <f>SUMIFS('Stock In-Out'!D:D,'Stock In-Out'!B:B,"Out",'Stock In-Out'!A:A,Inventory!A231)</f>
        <v>0</v>
      </c>
      <c r="E231" s="8">
        <f t="shared" si="4"/>
        <v>0</v>
      </c>
      <c r="F231" s="8" t="str">
        <f>IFERROR(VLOOKUP(A231,'Product Master'!D:N,10,0)*E231,"")</f>
        <v/>
      </c>
      <c r="G231" s="9" t="str">
        <f>IFERROR(VLOOKUP(A231,'Product Master'!D:N,11,0)*E231,"")</f>
        <v/>
      </c>
      <c r="H231" s="8">
        <f>SUMIFS('Product Master'!G:G,'Product Master'!D:D,Inventory!A231)+SUMIFS('Stock In-Out'!I:I,'Stock In-Out'!A:A,Inventory!A231)-SUMIFS('Stock In-Out'!J:J,'Stock In-Out'!A:A,Inventory!A231)</f>
        <v>0</v>
      </c>
      <c r="I231" s="8">
        <f>SUMIFS('Product Master'!H:H,'Product Master'!D:D,Inventory!A231)+SUMIFS('Stock In-Out'!K:K,'Stock In-Out'!A:A,Inventory!A231)-SUMIFS('Stock In-Out'!L:L,'Stock In-Out'!A:A,Inventory!A231)</f>
        <v>0</v>
      </c>
      <c r="J231" s="8">
        <f>SUMIFS('Product Master'!I:I,'Product Master'!D:D,Inventory!A231)+SUMIFS('Stock In-Out'!M:M,'Stock In-Out'!A:A,Inventory!A231)-SUMIFS('Stock In-Out'!N:N,'Stock In-Out'!A:A,Inventory!A231)</f>
        <v>0</v>
      </c>
      <c r="K231" s="8" t="str">
        <f>IFERROR(VLOOKUP(A231,'Product Master'!D:N,7,0),"")</f>
        <v/>
      </c>
      <c r="L231" s="6" t="str">
        <f>IFERROR(VLOOKUP(A231,'Product Master'!D228:F20227,3,0),"")</f>
        <v/>
      </c>
    </row>
    <row r="232" spans="1:12" x14ac:dyDescent="0.2">
      <c r="A232" s="1"/>
      <c r="B232" s="8">
        <f>SUMIFS('Stock In-Out'!D:D,'Stock In-Out'!B:B,"Opening Stock",'Stock In-Out'!A:A,Inventory!A232)</f>
        <v>0</v>
      </c>
      <c r="C232" s="8">
        <f>SUMIFS('Stock In-Out'!D:D,'Stock In-Out'!B:B,"In",'Stock In-Out'!A:A,Inventory!A232)</f>
        <v>0</v>
      </c>
      <c r="D232" s="8">
        <f>SUMIFS('Stock In-Out'!D:D,'Stock In-Out'!B:B,"Out",'Stock In-Out'!A:A,Inventory!A232)</f>
        <v>0</v>
      </c>
      <c r="E232" s="8">
        <f t="shared" si="4"/>
        <v>0</v>
      </c>
      <c r="F232" s="8" t="str">
        <f>IFERROR(VLOOKUP(A232,'Product Master'!D:N,10,0)*E232,"")</f>
        <v/>
      </c>
      <c r="G232" s="9" t="str">
        <f>IFERROR(VLOOKUP(A232,'Product Master'!D:N,11,0)*E232,"")</f>
        <v/>
      </c>
      <c r="H232" s="8">
        <f>SUMIFS('Product Master'!G:G,'Product Master'!D:D,Inventory!A232)+SUMIFS('Stock In-Out'!I:I,'Stock In-Out'!A:A,Inventory!A232)-SUMIFS('Stock In-Out'!J:J,'Stock In-Out'!A:A,Inventory!A232)</f>
        <v>0</v>
      </c>
      <c r="I232" s="8">
        <f>SUMIFS('Product Master'!H:H,'Product Master'!D:D,Inventory!A232)+SUMIFS('Stock In-Out'!K:K,'Stock In-Out'!A:A,Inventory!A232)-SUMIFS('Stock In-Out'!L:L,'Stock In-Out'!A:A,Inventory!A232)</f>
        <v>0</v>
      </c>
      <c r="J232" s="8">
        <f>SUMIFS('Product Master'!I:I,'Product Master'!D:D,Inventory!A232)+SUMIFS('Stock In-Out'!M:M,'Stock In-Out'!A:A,Inventory!A232)-SUMIFS('Stock In-Out'!N:N,'Stock In-Out'!A:A,Inventory!A232)</f>
        <v>0</v>
      </c>
      <c r="K232" s="8" t="str">
        <f>IFERROR(VLOOKUP(A232,'Product Master'!D:N,7,0),"")</f>
        <v/>
      </c>
      <c r="L232" s="6" t="str">
        <f>IFERROR(VLOOKUP(A232,'Product Master'!D229:F20228,3,0),"")</f>
        <v/>
      </c>
    </row>
    <row r="233" spans="1:12" x14ac:dyDescent="0.2">
      <c r="A233" s="1"/>
      <c r="B233" s="8">
        <f>SUMIFS('Stock In-Out'!D:D,'Stock In-Out'!B:B,"Opening Stock",'Stock In-Out'!A:A,Inventory!A233)</f>
        <v>0</v>
      </c>
      <c r="C233" s="8">
        <f>SUMIFS('Stock In-Out'!D:D,'Stock In-Out'!B:B,"In",'Stock In-Out'!A:A,Inventory!A233)</f>
        <v>0</v>
      </c>
      <c r="D233" s="8">
        <f>SUMIFS('Stock In-Out'!D:D,'Stock In-Out'!B:B,"Out",'Stock In-Out'!A:A,Inventory!A233)</f>
        <v>0</v>
      </c>
      <c r="E233" s="8">
        <f t="shared" si="4"/>
        <v>0</v>
      </c>
      <c r="F233" s="8" t="str">
        <f>IFERROR(VLOOKUP(A233,'Product Master'!D:N,10,0)*E233,"")</f>
        <v/>
      </c>
      <c r="G233" s="9" t="str">
        <f>IFERROR(VLOOKUP(A233,'Product Master'!D:N,11,0)*E233,"")</f>
        <v/>
      </c>
      <c r="H233" s="8">
        <f>SUMIFS('Product Master'!G:G,'Product Master'!D:D,Inventory!A233)+SUMIFS('Stock In-Out'!I:I,'Stock In-Out'!A:A,Inventory!A233)-SUMIFS('Stock In-Out'!J:J,'Stock In-Out'!A:A,Inventory!A233)</f>
        <v>0</v>
      </c>
      <c r="I233" s="8">
        <f>SUMIFS('Product Master'!H:H,'Product Master'!D:D,Inventory!A233)+SUMIFS('Stock In-Out'!K:K,'Stock In-Out'!A:A,Inventory!A233)-SUMIFS('Stock In-Out'!L:L,'Stock In-Out'!A:A,Inventory!A233)</f>
        <v>0</v>
      </c>
      <c r="J233" s="8">
        <f>SUMIFS('Product Master'!I:I,'Product Master'!D:D,Inventory!A233)+SUMIFS('Stock In-Out'!M:M,'Stock In-Out'!A:A,Inventory!A233)-SUMIFS('Stock In-Out'!N:N,'Stock In-Out'!A:A,Inventory!A233)</f>
        <v>0</v>
      </c>
      <c r="K233" s="8" t="str">
        <f>IFERROR(VLOOKUP(A233,'Product Master'!D:N,7,0),"")</f>
        <v/>
      </c>
      <c r="L233" s="6" t="str">
        <f>IFERROR(VLOOKUP(A233,'Product Master'!D230:F20229,3,0),"")</f>
        <v/>
      </c>
    </row>
    <row r="234" spans="1:12" x14ac:dyDescent="0.2">
      <c r="A234" s="1"/>
      <c r="B234" s="8">
        <f>SUMIFS('Stock In-Out'!D:D,'Stock In-Out'!B:B,"Opening Stock",'Stock In-Out'!A:A,Inventory!A234)</f>
        <v>0</v>
      </c>
      <c r="C234" s="8">
        <f>SUMIFS('Stock In-Out'!D:D,'Stock In-Out'!B:B,"In",'Stock In-Out'!A:A,Inventory!A234)</f>
        <v>0</v>
      </c>
      <c r="D234" s="8">
        <f>SUMIFS('Stock In-Out'!D:D,'Stock In-Out'!B:B,"Out",'Stock In-Out'!A:A,Inventory!A234)</f>
        <v>0</v>
      </c>
      <c r="E234" s="8">
        <f t="shared" si="4"/>
        <v>0</v>
      </c>
      <c r="F234" s="8" t="str">
        <f>IFERROR(VLOOKUP(A234,'Product Master'!D:N,10,0)*E234,"")</f>
        <v/>
      </c>
      <c r="G234" s="9" t="str">
        <f>IFERROR(VLOOKUP(A234,'Product Master'!D:N,11,0)*E234,"")</f>
        <v/>
      </c>
      <c r="H234" s="8">
        <f>SUMIFS('Product Master'!G:G,'Product Master'!D:D,Inventory!A234)+SUMIFS('Stock In-Out'!I:I,'Stock In-Out'!A:A,Inventory!A234)-SUMIFS('Stock In-Out'!J:J,'Stock In-Out'!A:A,Inventory!A234)</f>
        <v>0</v>
      </c>
      <c r="I234" s="8">
        <f>SUMIFS('Product Master'!H:H,'Product Master'!D:D,Inventory!A234)+SUMIFS('Stock In-Out'!K:K,'Stock In-Out'!A:A,Inventory!A234)-SUMIFS('Stock In-Out'!L:L,'Stock In-Out'!A:A,Inventory!A234)</f>
        <v>0</v>
      </c>
      <c r="J234" s="8">
        <f>SUMIFS('Product Master'!I:I,'Product Master'!D:D,Inventory!A234)+SUMIFS('Stock In-Out'!M:M,'Stock In-Out'!A:A,Inventory!A234)-SUMIFS('Stock In-Out'!N:N,'Stock In-Out'!A:A,Inventory!A234)</f>
        <v>0</v>
      </c>
      <c r="K234" s="8" t="str">
        <f>IFERROR(VLOOKUP(A234,'Product Master'!D:N,7,0),"")</f>
        <v/>
      </c>
      <c r="L234" s="6" t="str">
        <f>IFERROR(VLOOKUP(A234,'Product Master'!D231:F20230,3,0),"")</f>
        <v/>
      </c>
    </row>
    <row r="235" spans="1:12" x14ac:dyDescent="0.2">
      <c r="A235" s="1"/>
      <c r="B235" s="8">
        <f>SUMIFS('Stock In-Out'!D:D,'Stock In-Out'!B:B,"Opening Stock",'Stock In-Out'!A:A,Inventory!A235)</f>
        <v>0</v>
      </c>
      <c r="C235" s="8">
        <f>SUMIFS('Stock In-Out'!D:D,'Stock In-Out'!B:B,"In",'Stock In-Out'!A:A,Inventory!A235)</f>
        <v>0</v>
      </c>
      <c r="D235" s="8">
        <f>SUMIFS('Stock In-Out'!D:D,'Stock In-Out'!B:B,"Out",'Stock In-Out'!A:A,Inventory!A235)</f>
        <v>0</v>
      </c>
      <c r="E235" s="8">
        <f t="shared" si="4"/>
        <v>0</v>
      </c>
      <c r="F235" s="8" t="str">
        <f>IFERROR(VLOOKUP(A235,'Product Master'!D:N,10,0)*E235,"")</f>
        <v/>
      </c>
      <c r="G235" s="9" t="str">
        <f>IFERROR(VLOOKUP(A235,'Product Master'!D:N,11,0)*E235,"")</f>
        <v/>
      </c>
      <c r="H235" s="8">
        <f>SUMIFS('Product Master'!G:G,'Product Master'!D:D,Inventory!A235)+SUMIFS('Stock In-Out'!I:I,'Stock In-Out'!A:A,Inventory!A235)-SUMIFS('Stock In-Out'!J:J,'Stock In-Out'!A:A,Inventory!A235)</f>
        <v>0</v>
      </c>
      <c r="I235" s="8">
        <f>SUMIFS('Product Master'!H:H,'Product Master'!D:D,Inventory!A235)+SUMIFS('Stock In-Out'!K:K,'Stock In-Out'!A:A,Inventory!A235)-SUMIFS('Stock In-Out'!L:L,'Stock In-Out'!A:A,Inventory!A235)</f>
        <v>0</v>
      </c>
      <c r="J235" s="8">
        <f>SUMIFS('Product Master'!I:I,'Product Master'!D:D,Inventory!A235)+SUMIFS('Stock In-Out'!M:M,'Stock In-Out'!A:A,Inventory!A235)-SUMIFS('Stock In-Out'!N:N,'Stock In-Out'!A:A,Inventory!A235)</f>
        <v>0</v>
      </c>
      <c r="K235" s="8" t="str">
        <f>IFERROR(VLOOKUP(A235,'Product Master'!D:N,7,0),"")</f>
        <v/>
      </c>
      <c r="L235" s="6" t="str">
        <f>IFERROR(VLOOKUP(A235,'Product Master'!D232:F20231,3,0),"")</f>
        <v/>
      </c>
    </row>
    <row r="236" spans="1:12" x14ac:dyDescent="0.2">
      <c r="A236" s="1"/>
      <c r="B236" s="8">
        <f>SUMIFS('Stock In-Out'!D:D,'Stock In-Out'!B:B,"Opening Stock",'Stock In-Out'!A:A,Inventory!A236)</f>
        <v>0</v>
      </c>
      <c r="C236" s="8">
        <f>SUMIFS('Stock In-Out'!D:D,'Stock In-Out'!B:B,"In",'Stock In-Out'!A:A,Inventory!A236)</f>
        <v>0</v>
      </c>
      <c r="D236" s="8">
        <f>SUMIFS('Stock In-Out'!D:D,'Stock In-Out'!B:B,"Out",'Stock In-Out'!A:A,Inventory!A236)</f>
        <v>0</v>
      </c>
      <c r="E236" s="8">
        <f t="shared" si="4"/>
        <v>0</v>
      </c>
      <c r="F236" s="8" t="str">
        <f>IFERROR(VLOOKUP(A236,'Product Master'!D:N,10,0)*E236,"")</f>
        <v/>
      </c>
      <c r="G236" s="9" t="str">
        <f>IFERROR(VLOOKUP(A236,'Product Master'!D:N,11,0)*E236,"")</f>
        <v/>
      </c>
      <c r="H236" s="8">
        <f>SUMIFS('Product Master'!G:G,'Product Master'!D:D,Inventory!A236)+SUMIFS('Stock In-Out'!I:I,'Stock In-Out'!A:A,Inventory!A236)-SUMIFS('Stock In-Out'!J:J,'Stock In-Out'!A:A,Inventory!A236)</f>
        <v>0</v>
      </c>
      <c r="I236" s="8">
        <f>SUMIFS('Product Master'!H:H,'Product Master'!D:D,Inventory!A236)+SUMIFS('Stock In-Out'!K:K,'Stock In-Out'!A:A,Inventory!A236)-SUMIFS('Stock In-Out'!L:L,'Stock In-Out'!A:A,Inventory!A236)</f>
        <v>0</v>
      </c>
      <c r="J236" s="8">
        <f>SUMIFS('Product Master'!I:I,'Product Master'!D:D,Inventory!A236)+SUMIFS('Stock In-Out'!M:M,'Stock In-Out'!A:A,Inventory!A236)-SUMIFS('Stock In-Out'!N:N,'Stock In-Out'!A:A,Inventory!A236)</f>
        <v>0</v>
      </c>
      <c r="K236" s="8" t="str">
        <f>IFERROR(VLOOKUP(A236,'Product Master'!D:N,7,0),"")</f>
        <v/>
      </c>
      <c r="L236" s="6" t="str">
        <f>IFERROR(VLOOKUP(A236,'Product Master'!D233:F20232,3,0),"")</f>
        <v/>
      </c>
    </row>
    <row r="237" spans="1:12" x14ac:dyDescent="0.2">
      <c r="A237" s="1"/>
      <c r="B237" s="8">
        <f>SUMIFS('Stock In-Out'!D:D,'Stock In-Out'!B:B,"Opening Stock",'Stock In-Out'!A:A,Inventory!A237)</f>
        <v>0</v>
      </c>
      <c r="C237" s="8">
        <f>SUMIFS('Stock In-Out'!D:D,'Stock In-Out'!B:B,"In",'Stock In-Out'!A:A,Inventory!A237)</f>
        <v>0</v>
      </c>
      <c r="D237" s="8">
        <f>SUMIFS('Stock In-Out'!D:D,'Stock In-Out'!B:B,"Out",'Stock In-Out'!A:A,Inventory!A237)</f>
        <v>0</v>
      </c>
      <c r="E237" s="8">
        <f t="shared" si="4"/>
        <v>0</v>
      </c>
      <c r="F237" s="8" t="str">
        <f>IFERROR(VLOOKUP(A237,'Product Master'!D:N,10,0)*E237,"")</f>
        <v/>
      </c>
      <c r="G237" s="9" t="str">
        <f>IFERROR(VLOOKUP(A237,'Product Master'!D:N,11,0)*E237,"")</f>
        <v/>
      </c>
      <c r="H237" s="8">
        <f>SUMIFS('Product Master'!G:G,'Product Master'!D:D,Inventory!A237)+SUMIFS('Stock In-Out'!I:I,'Stock In-Out'!A:A,Inventory!A237)-SUMIFS('Stock In-Out'!J:J,'Stock In-Out'!A:A,Inventory!A237)</f>
        <v>0</v>
      </c>
      <c r="I237" s="8">
        <f>SUMIFS('Product Master'!H:H,'Product Master'!D:D,Inventory!A237)+SUMIFS('Stock In-Out'!K:K,'Stock In-Out'!A:A,Inventory!A237)-SUMIFS('Stock In-Out'!L:L,'Stock In-Out'!A:A,Inventory!A237)</f>
        <v>0</v>
      </c>
      <c r="J237" s="8">
        <f>SUMIFS('Product Master'!I:I,'Product Master'!D:D,Inventory!A237)+SUMIFS('Stock In-Out'!M:M,'Stock In-Out'!A:A,Inventory!A237)-SUMIFS('Stock In-Out'!N:N,'Stock In-Out'!A:A,Inventory!A237)</f>
        <v>0</v>
      </c>
      <c r="K237" s="8" t="str">
        <f>IFERROR(VLOOKUP(A237,'Product Master'!D:N,7,0),"")</f>
        <v/>
      </c>
      <c r="L237" s="6" t="str">
        <f>IFERROR(VLOOKUP(A237,'Product Master'!D234:F20233,3,0),"")</f>
        <v/>
      </c>
    </row>
    <row r="238" spans="1:12" x14ac:dyDescent="0.2">
      <c r="A238" s="1"/>
      <c r="B238" s="8">
        <f>SUMIFS('Stock In-Out'!D:D,'Stock In-Out'!B:B,"Opening Stock",'Stock In-Out'!A:A,Inventory!A238)</f>
        <v>0</v>
      </c>
      <c r="C238" s="8">
        <f>SUMIFS('Stock In-Out'!D:D,'Stock In-Out'!B:B,"In",'Stock In-Out'!A:A,Inventory!A238)</f>
        <v>0</v>
      </c>
      <c r="D238" s="8">
        <f>SUMIFS('Stock In-Out'!D:D,'Stock In-Out'!B:B,"Out",'Stock In-Out'!A:A,Inventory!A238)</f>
        <v>0</v>
      </c>
      <c r="E238" s="8">
        <f t="shared" si="4"/>
        <v>0</v>
      </c>
      <c r="F238" s="8" t="str">
        <f>IFERROR(VLOOKUP(A238,'Product Master'!D:N,10,0)*E238,"")</f>
        <v/>
      </c>
      <c r="G238" s="9" t="str">
        <f>IFERROR(VLOOKUP(A238,'Product Master'!D:N,11,0)*E238,"")</f>
        <v/>
      </c>
      <c r="H238" s="8">
        <f>SUMIFS('Product Master'!G:G,'Product Master'!D:D,Inventory!A238)+SUMIFS('Stock In-Out'!I:I,'Stock In-Out'!A:A,Inventory!A238)-SUMIFS('Stock In-Out'!J:J,'Stock In-Out'!A:A,Inventory!A238)</f>
        <v>0</v>
      </c>
      <c r="I238" s="8">
        <f>SUMIFS('Product Master'!H:H,'Product Master'!D:D,Inventory!A238)+SUMIFS('Stock In-Out'!K:K,'Stock In-Out'!A:A,Inventory!A238)-SUMIFS('Stock In-Out'!L:L,'Stock In-Out'!A:A,Inventory!A238)</f>
        <v>0</v>
      </c>
      <c r="J238" s="8">
        <f>SUMIFS('Product Master'!I:I,'Product Master'!D:D,Inventory!A238)+SUMIFS('Stock In-Out'!M:M,'Stock In-Out'!A:A,Inventory!A238)-SUMIFS('Stock In-Out'!N:N,'Stock In-Out'!A:A,Inventory!A238)</f>
        <v>0</v>
      </c>
      <c r="K238" s="8" t="str">
        <f>IFERROR(VLOOKUP(A238,'Product Master'!D:N,7,0),"")</f>
        <v/>
      </c>
      <c r="L238" s="6" t="str">
        <f>IFERROR(VLOOKUP(A238,'Product Master'!D235:F20234,3,0),"")</f>
        <v/>
      </c>
    </row>
    <row r="239" spans="1:12" x14ac:dyDescent="0.2">
      <c r="A239" s="1"/>
      <c r="B239" s="8">
        <f>SUMIFS('Stock In-Out'!D:D,'Stock In-Out'!B:B,"Opening Stock",'Stock In-Out'!A:A,Inventory!A239)</f>
        <v>0</v>
      </c>
      <c r="C239" s="8">
        <f>SUMIFS('Stock In-Out'!D:D,'Stock In-Out'!B:B,"In",'Stock In-Out'!A:A,Inventory!A239)</f>
        <v>0</v>
      </c>
      <c r="D239" s="8">
        <f>SUMIFS('Stock In-Out'!D:D,'Stock In-Out'!B:B,"Out",'Stock In-Out'!A:A,Inventory!A239)</f>
        <v>0</v>
      </c>
      <c r="E239" s="8">
        <f t="shared" si="4"/>
        <v>0</v>
      </c>
      <c r="F239" s="8" t="str">
        <f>IFERROR(VLOOKUP(A239,'Product Master'!D:N,10,0)*E239,"")</f>
        <v/>
      </c>
      <c r="G239" s="9" t="str">
        <f>IFERROR(VLOOKUP(A239,'Product Master'!D:N,11,0)*E239,"")</f>
        <v/>
      </c>
      <c r="H239" s="8">
        <f>SUMIFS('Product Master'!G:G,'Product Master'!D:D,Inventory!A239)+SUMIFS('Stock In-Out'!I:I,'Stock In-Out'!A:A,Inventory!A239)-SUMIFS('Stock In-Out'!J:J,'Stock In-Out'!A:A,Inventory!A239)</f>
        <v>0</v>
      </c>
      <c r="I239" s="8">
        <f>SUMIFS('Product Master'!H:H,'Product Master'!D:D,Inventory!A239)+SUMIFS('Stock In-Out'!K:K,'Stock In-Out'!A:A,Inventory!A239)-SUMIFS('Stock In-Out'!L:L,'Stock In-Out'!A:A,Inventory!A239)</f>
        <v>0</v>
      </c>
      <c r="J239" s="8">
        <f>SUMIFS('Product Master'!I:I,'Product Master'!D:D,Inventory!A239)+SUMIFS('Stock In-Out'!M:M,'Stock In-Out'!A:A,Inventory!A239)-SUMIFS('Stock In-Out'!N:N,'Stock In-Out'!A:A,Inventory!A239)</f>
        <v>0</v>
      </c>
      <c r="K239" s="8" t="str">
        <f>IFERROR(VLOOKUP(A239,'Product Master'!D:N,7,0),"")</f>
        <v/>
      </c>
      <c r="L239" s="6" t="str">
        <f>IFERROR(VLOOKUP(A239,'Product Master'!D236:F20235,3,0),"")</f>
        <v/>
      </c>
    </row>
    <row r="240" spans="1:12" x14ac:dyDescent="0.2">
      <c r="A240" s="1"/>
      <c r="B240" s="8">
        <f>SUMIFS('Stock In-Out'!D:D,'Stock In-Out'!B:B,"Opening Stock",'Stock In-Out'!A:A,Inventory!A240)</f>
        <v>0</v>
      </c>
      <c r="C240" s="8">
        <f>SUMIFS('Stock In-Out'!D:D,'Stock In-Out'!B:B,"In",'Stock In-Out'!A:A,Inventory!A240)</f>
        <v>0</v>
      </c>
      <c r="D240" s="8">
        <f>SUMIFS('Stock In-Out'!D:D,'Stock In-Out'!B:B,"Out",'Stock In-Out'!A:A,Inventory!A240)</f>
        <v>0</v>
      </c>
      <c r="E240" s="8">
        <f t="shared" si="4"/>
        <v>0</v>
      </c>
      <c r="F240" s="8" t="str">
        <f>IFERROR(VLOOKUP(A240,'Product Master'!D:N,10,0)*E240,"")</f>
        <v/>
      </c>
      <c r="G240" s="9" t="str">
        <f>IFERROR(VLOOKUP(A240,'Product Master'!D:N,11,0)*E240,"")</f>
        <v/>
      </c>
      <c r="H240" s="8">
        <f>SUMIFS('Product Master'!G:G,'Product Master'!D:D,Inventory!A240)+SUMIFS('Stock In-Out'!I:I,'Stock In-Out'!A:A,Inventory!A240)-SUMIFS('Stock In-Out'!J:J,'Stock In-Out'!A:A,Inventory!A240)</f>
        <v>0</v>
      </c>
      <c r="I240" s="8">
        <f>SUMIFS('Product Master'!H:H,'Product Master'!D:D,Inventory!A240)+SUMIFS('Stock In-Out'!K:K,'Stock In-Out'!A:A,Inventory!A240)-SUMIFS('Stock In-Out'!L:L,'Stock In-Out'!A:A,Inventory!A240)</f>
        <v>0</v>
      </c>
      <c r="J240" s="8">
        <f>SUMIFS('Product Master'!I:I,'Product Master'!D:D,Inventory!A240)+SUMIFS('Stock In-Out'!M:M,'Stock In-Out'!A:A,Inventory!A240)-SUMIFS('Stock In-Out'!N:N,'Stock In-Out'!A:A,Inventory!A240)</f>
        <v>0</v>
      </c>
      <c r="K240" s="8" t="str">
        <f>IFERROR(VLOOKUP(A240,'Product Master'!D:N,7,0),"")</f>
        <v/>
      </c>
      <c r="L240" s="6" t="str">
        <f>IFERROR(VLOOKUP(A240,'Product Master'!D237:F20236,3,0),"")</f>
        <v/>
      </c>
    </row>
    <row r="241" spans="1:12" x14ac:dyDescent="0.2">
      <c r="A241" s="1"/>
      <c r="B241" s="8">
        <f>SUMIFS('Stock In-Out'!D:D,'Stock In-Out'!B:B,"Opening Stock",'Stock In-Out'!A:A,Inventory!A241)</f>
        <v>0</v>
      </c>
      <c r="C241" s="8">
        <f>SUMIFS('Stock In-Out'!D:D,'Stock In-Out'!B:B,"In",'Stock In-Out'!A:A,Inventory!A241)</f>
        <v>0</v>
      </c>
      <c r="D241" s="8">
        <f>SUMIFS('Stock In-Out'!D:D,'Stock In-Out'!B:B,"Out",'Stock In-Out'!A:A,Inventory!A241)</f>
        <v>0</v>
      </c>
      <c r="E241" s="8">
        <f t="shared" si="4"/>
        <v>0</v>
      </c>
      <c r="F241" s="8" t="str">
        <f>IFERROR(VLOOKUP(A241,'Product Master'!D:N,10,0)*E241,"")</f>
        <v/>
      </c>
      <c r="G241" s="9" t="str">
        <f>IFERROR(VLOOKUP(A241,'Product Master'!D:N,11,0)*E241,"")</f>
        <v/>
      </c>
      <c r="H241" s="8">
        <f>SUMIFS('Product Master'!G:G,'Product Master'!D:D,Inventory!A241)+SUMIFS('Stock In-Out'!I:I,'Stock In-Out'!A:A,Inventory!A241)-SUMIFS('Stock In-Out'!J:J,'Stock In-Out'!A:A,Inventory!A241)</f>
        <v>0</v>
      </c>
      <c r="I241" s="8">
        <f>SUMIFS('Product Master'!H:H,'Product Master'!D:D,Inventory!A241)+SUMIFS('Stock In-Out'!K:K,'Stock In-Out'!A:A,Inventory!A241)-SUMIFS('Stock In-Out'!L:L,'Stock In-Out'!A:A,Inventory!A241)</f>
        <v>0</v>
      </c>
      <c r="J241" s="8">
        <f>SUMIFS('Product Master'!I:I,'Product Master'!D:D,Inventory!A241)+SUMIFS('Stock In-Out'!M:M,'Stock In-Out'!A:A,Inventory!A241)-SUMIFS('Stock In-Out'!N:N,'Stock In-Out'!A:A,Inventory!A241)</f>
        <v>0</v>
      </c>
      <c r="K241" s="8" t="str">
        <f>IFERROR(VLOOKUP(A241,'Product Master'!D:N,7,0),"")</f>
        <v/>
      </c>
      <c r="L241" s="6" t="str">
        <f>IFERROR(VLOOKUP(A241,'Product Master'!D238:F20237,3,0),"")</f>
        <v/>
      </c>
    </row>
    <row r="242" spans="1:12" x14ac:dyDescent="0.2">
      <c r="A242" s="1"/>
      <c r="B242" s="8">
        <f>SUMIFS('Stock In-Out'!D:D,'Stock In-Out'!B:B,"Opening Stock",'Stock In-Out'!A:A,Inventory!A242)</f>
        <v>0</v>
      </c>
      <c r="C242" s="8">
        <f>SUMIFS('Stock In-Out'!D:D,'Stock In-Out'!B:B,"In",'Stock In-Out'!A:A,Inventory!A242)</f>
        <v>0</v>
      </c>
      <c r="D242" s="8">
        <f>SUMIFS('Stock In-Out'!D:D,'Stock In-Out'!B:B,"Out",'Stock In-Out'!A:A,Inventory!A242)</f>
        <v>0</v>
      </c>
      <c r="E242" s="8">
        <f t="shared" si="4"/>
        <v>0</v>
      </c>
      <c r="F242" s="8" t="str">
        <f>IFERROR(VLOOKUP(A242,'Product Master'!D:N,10,0)*E242,"")</f>
        <v/>
      </c>
      <c r="G242" s="9" t="str">
        <f>IFERROR(VLOOKUP(A242,'Product Master'!D:N,11,0)*E242,"")</f>
        <v/>
      </c>
      <c r="H242" s="8">
        <f>SUMIFS('Product Master'!G:G,'Product Master'!D:D,Inventory!A242)+SUMIFS('Stock In-Out'!I:I,'Stock In-Out'!A:A,Inventory!A242)-SUMIFS('Stock In-Out'!J:J,'Stock In-Out'!A:A,Inventory!A242)</f>
        <v>0</v>
      </c>
      <c r="I242" s="8">
        <f>SUMIFS('Product Master'!H:H,'Product Master'!D:D,Inventory!A242)+SUMIFS('Stock In-Out'!K:K,'Stock In-Out'!A:A,Inventory!A242)-SUMIFS('Stock In-Out'!L:L,'Stock In-Out'!A:A,Inventory!A242)</f>
        <v>0</v>
      </c>
      <c r="J242" s="8">
        <f>SUMIFS('Product Master'!I:I,'Product Master'!D:D,Inventory!A242)+SUMIFS('Stock In-Out'!M:M,'Stock In-Out'!A:A,Inventory!A242)-SUMIFS('Stock In-Out'!N:N,'Stock In-Out'!A:A,Inventory!A242)</f>
        <v>0</v>
      </c>
      <c r="K242" s="8" t="str">
        <f>IFERROR(VLOOKUP(A242,'Product Master'!D:N,7,0),"")</f>
        <v/>
      </c>
      <c r="L242" s="6" t="str">
        <f>IFERROR(VLOOKUP(A242,'Product Master'!D239:F20238,3,0),"")</f>
        <v/>
      </c>
    </row>
    <row r="243" spans="1:12" x14ac:dyDescent="0.2">
      <c r="A243" s="1"/>
      <c r="B243" s="8">
        <f>SUMIFS('Stock In-Out'!D:D,'Stock In-Out'!B:B,"Opening Stock",'Stock In-Out'!A:A,Inventory!A243)</f>
        <v>0</v>
      </c>
      <c r="C243" s="8">
        <f>SUMIFS('Stock In-Out'!D:D,'Stock In-Out'!B:B,"In",'Stock In-Out'!A:A,Inventory!A243)</f>
        <v>0</v>
      </c>
      <c r="D243" s="8">
        <f>SUMIFS('Stock In-Out'!D:D,'Stock In-Out'!B:B,"Out",'Stock In-Out'!A:A,Inventory!A243)</f>
        <v>0</v>
      </c>
      <c r="E243" s="8">
        <f t="shared" si="4"/>
        <v>0</v>
      </c>
      <c r="F243" s="8" t="str">
        <f>IFERROR(VLOOKUP(A243,'Product Master'!D:N,10,0)*E243,"")</f>
        <v/>
      </c>
      <c r="G243" s="9" t="str">
        <f>IFERROR(VLOOKUP(A243,'Product Master'!D:N,11,0)*E243,"")</f>
        <v/>
      </c>
      <c r="H243" s="8">
        <f>SUMIFS('Product Master'!G:G,'Product Master'!D:D,Inventory!A243)+SUMIFS('Stock In-Out'!I:I,'Stock In-Out'!A:A,Inventory!A243)-SUMIFS('Stock In-Out'!J:J,'Stock In-Out'!A:A,Inventory!A243)</f>
        <v>0</v>
      </c>
      <c r="I243" s="8">
        <f>SUMIFS('Product Master'!H:H,'Product Master'!D:D,Inventory!A243)+SUMIFS('Stock In-Out'!K:K,'Stock In-Out'!A:A,Inventory!A243)-SUMIFS('Stock In-Out'!L:L,'Stock In-Out'!A:A,Inventory!A243)</f>
        <v>0</v>
      </c>
      <c r="J243" s="8">
        <f>SUMIFS('Product Master'!I:I,'Product Master'!D:D,Inventory!A243)+SUMIFS('Stock In-Out'!M:M,'Stock In-Out'!A:A,Inventory!A243)-SUMIFS('Stock In-Out'!N:N,'Stock In-Out'!A:A,Inventory!A243)</f>
        <v>0</v>
      </c>
      <c r="K243" s="8" t="str">
        <f>IFERROR(VLOOKUP(A243,'Product Master'!D:N,7,0),"")</f>
        <v/>
      </c>
      <c r="L243" s="6" t="str">
        <f>IFERROR(VLOOKUP(A243,'Product Master'!D240:F20239,3,0),"")</f>
        <v/>
      </c>
    </row>
    <row r="244" spans="1:12" x14ac:dyDescent="0.2">
      <c r="A244" s="1"/>
      <c r="B244" s="8">
        <f>SUMIFS('Stock In-Out'!D:D,'Stock In-Out'!B:B,"Opening Stock",'Stock In-Out'!A:A,Inventory!A244)</f>
        <v>0</v>
      </c>
      <c r="C244" s="8">
        <f>SUMIFS('Stock In-Out'!D:D,'Stock In-Out'!B:B,"In",'Stock In-Out'!A:A,Inventory!A244)</f>
        <v>0</v>
      </c>
      <c r="D244" s="8">
        <f>SUMIFS('Stock In-Out'!D:D,'Stock In-Out'!B:B,"Out",'Stock In-Out'!A:A,Inventory!A244)</f>
        <v>0</v>
      </c>
      <c r="E244" s="8">
        <f t="shared" si="4"/>
        <v>0</v>
      </c>
      <c r="F244" s="8" t="str">
        <f>IFERROR(VLOOKUP(A244,'Product Master'!D:N,10,0)*E244,"")</f>
        <v/>
      </c>
      <c r="G244" s="9" t="str">
        <f>IFERROR(VLOOKUP(A244,'Product Master'!D:N,11,0)*E244,"")</f>
        <v/>
      </c>
      <c r="H244" s="8">
        <f>SUMIFS('Product Master'!G:G,'Product Master'!D:D,Inventory!A244)+SUMIFS('Stock In-Out'!I:I,'Stock In-Out'!A:A,Inventory!A244)-SUMIFS('Stock In-Out'!J:J,'Stock In-Out'!A:A,Inventory!A244)</f>
        <v>0</v>
      </c>
      <c r="I244" s="8">
        <f>SUMIFS('Product Master'!H:H,'Product Master'!D:D,Inventory!A244)+SUMIFS('Stock In-Out'!K:K,'Stock In-Out'!A:A,Inventory!A244)-SUMIFS('Stock In-Out'!L:L,'Stock In-Out'!A:A,Inventory!A244)</f>
        <v>0</v>
      </c>
      <c r="J244" s="8">
        <f>SUMIFS('Product Master'!I:I,'Product Master'!D:D,Inventory!A244)+SUMIFS('Stock In-Out'!M:M,'Stock In-Out'!A:A,Inventory!A244)-SUMIFS('Stock In-Out'!N:N,'Stock In-Out'!A:A,Inventory!A244)</f>
        <v>0</v>
      </c>
      <c r="K244" s="8" t="str">
        <f>IFERROR(VLOOKUP(A244,'Product Master'!D:N,7,0),"")</f>
        <v/>
      </c>
      <c r="L244" s="6" t="str">
        <f>IFERROR(VLOOKUP(A244,'Product Master'!D241:F20240,3,0),"")</f>
        <v/>
      </c>
    </row>
    <row r="245" spans="1:12" x14ac:dyDescent="0.2">
      <c r="A245" s="1"/>
      <c r="B245" s="8">
        <f>SUMIFS('Stock In-Out'!D:D,'Stock In-Out'!B:B,"Opening Stock",'Stock In-Out'!A:A,Inventory!A245)</f>
        <v>0</v>
      </c>
      <c r="C245" s="8">
        <f>SUMIFS('Stock In-Out'!D:D,'Stock In-Out'!B:B,"In",'Stock In-Out'!A:A,Inventory!A245)</f>
        <v>0</v>
      </c>
      <c r="D245" s="8">
        <f>SUMIFS('Stock In-Out'!D:D,'Stock In-Out'!B:B,"Out",'Stock In-Out'!A:A,Inventory!A245)</f>
        <v>0</v>
      </c>
      <c r="E245" s="8">
        <f t="shared" si="4"/>
        <v>0</v>
      </c>
      <c r="F245" s="8" t="str">
        <f>IFERROR(VLOOKUP(A245,'Product Master'!D:N,10,0)*E245,"")</f>
        <v/>
      </c>
      <c r="G245" s="9" t="str">
        <f>IFERROR(VLOOKUP(A245,'Product Master'!D:N,11,0)*E245,"")</f>
        <v/>
      </c>
      <c r="H245" s="8">
        <f>SUMIFS('Product Master'!G:G,'Product Master'!D:D,Inventory!A245)+SUMIFS('Stock In-Out'!I:I,'Stock In-Out'!A:A,Inventory!A245)-SUMIFS('Stock In-Out'!J:J,'Stock In-Out'!A:A,Inventory!A245)</f>
        <v>0</v>
      </c>
      <c r="I245" s="8">
        <f>SUMIFS('Product Master'!H:H,'Product Master'!D:D,Inventory!A245)+SUMIFS('Stock In-Out'!K:K,'Stock In-Out'!A:A,Inventory!A245)-SUMIFS('Stock In-Out'!L:L,'Stock In-Out'!A:A,Inventory!A245)</f>
        <v>0</v>
      </c>
      <c r="J245" s="8">
        <f>SUMIFS('Product Master'!I:I,'Product Master'!D:D,Inventory!A245)+SUMIFS('Stock In-Out'!M:M,'Stock In-Out'!A:A,Inventory!A245)-SUMIFS('Stock In-Out'!N:N,'Stock In-Out'!A:A,Inventory!A245)</f>
        <v>0</v>
      </c>
      <c r="K245" s="8" t="str">
        <f>IFERROR(VLOOKUP(A245,'Product Master'!D:N,7,0),"")</f>
        <v/>
      </c>
      <c r="L245" s="6" t="str">
        <f>IFERROR(VLOOKUP(A245,'Product Master'!D242:F20241,3,0),"")</f>
        <v/>
      </c>
    </row>
    <row r="246" spans="1:12" x14ac:dyDescent="0.2">
      <c r="A246" s="1"/>
      <c r="B246" s="8">
        <f>SUMIFS('Stock In-Out'!D:D,'Stock In-Out'!B:B,"Opening Stock",'Stock In-Out'!A:A,Inventory!A246)</f>
        <v>0</v>
      </c>
      <c r="C246" s="8">
        <f>SUMIFS('Stock In-Out'!D:D,'Stock In-Out'!B:B,"In",'Stock In-Out'!A:A,Inventory!A246)</f>
        <v>0</v>
      </c>
      <c r="D246" s="8">
        <f>SUMIFS('Stock In-Out'!D:D,'Stock In-Out'!B:B,"Out",'Stock In-Out'!A:A,Inventory!A246)</f>
        <v>0</v>
      </c>
      <c r="E246" s="8">
        <f t="shared" si="4"/>
        <v>0</v>
      </c>
      <c r="F246" s="8" t="str">
        <f>IFERROR(VLOOKUP(A246,'Product Master'!D:N,10,0)*E246,"")</f>
        <v/>
      </c>
      <c r="G246" s="9" t="str">
        <f>IFERROR(VLOOKUP(A246,'Product Master'!D:N,11,0)*E246,"")</f>
        <v/>
      </c>
      <c r="H246" s="8">
        <f>SUMIFS('Product Master'!G:G,'Product Master'!D:D,Inventory!A246)+SUMIFS('Stock In-Out'!I:I,'Stock In-Out'!A:A,Inventory!A246)-SUMIFS('Stock In-Out'!J:J,'Stock In-Out'!A:A,Inventory!A246)</f>
        <v>0</v>
      </c>
      <c r="I246" s="8">
        <f>SUMIFS('Product Master'!H:H,'Product Master'!D:D,Inventory!A246)+SUMIFS('Stock In-Out'!K:K,'Stock In-Out'!A:A,Inventory!A246)-SUMIFS('Stock In-Out'!L:L,'Stock In-Out'!A:A,Inventory!A246)</f>
        <v>0</v>
      </c>
      <c r="J246" s="8">
        <f>SUMIFS('Product Master'!I:I,'Product Master'!D:D,Inventory!A246)+SUMIFS('Stock In-Out'!M:M,'Stock In-Out'!A:A,Inventory!A246)-SUMIFS('Stock In-Out'!N:N,'Stock In-Out'!A:A,Inventory!A246)</f>
        <v>0</v>
      </c>
      <c r="K246" s="8" t="str">
        <f>IFERROR(VLOOKUP(A246,'Product Master'!D:N,7,0),"")</f>
        <v/>
      </c>
      <c r="L246" s="6" t="str">
        <f>IFERROR(VLOOKUP(A246,'Product Master'!D243:F20242,3,0),"")</f>
        <v/>
      </c>
    </row>
    <row r="247" spans="1:12" x14ac:dyDescent="0.2">
      <c r="A247" s="1"/>
      <c r="B247" s="8">
        <f>SUMIFS('Stock In-Out'!D:D,'Stock In-Out'!B:B,"Opening Stock",'Stock In-Out'!A:A,Inventory!A247)</f>
        <v>0</v>
      </c>
      <c r="C247" s="8">
        <f>SUMIFS('Stock In-Out'!D:D,'Stock In-Out'!B:B,"In",'Stock In-Out'!A:A,Inventory!A247)</f>
        <v>0</v>
      </c>
      <c r="D247" s="8">
        <f>SUMIFS('Stock In-Out'!D:D,'Stock In-Out'!B:B,"Out",'Stock In-Out'!A:A,Inventory!A247)</f>
        <v>0</v>
      </c>
      <c r="E247" s="8">
        <f t="shared" si="4"/>
        <v>0</v>
      </c>
      <c r="F247" s="8" t="str">
        <f>IFERROR(VLOOKUP(A247,'Product Master'!D:N,10,0)*E247,"")</f>
        <v/>
      </c>
      <c r="G247" s="9" t="str">
        <f>IFERROR(VLOOKUP(A247,'Product Master'!D:N,11,0)*E247,"")</f>
        <v/>
      </c>
      <c r="H247" s="8">
        <f>SUMIFS('Product Master'!G:G,'Product Master'!D:D,Inventory!A247)+SUMIFS('Stock In-Out'!I:I,'Stock In-Out'!A:A,Inventory!A247)-SUMIFS('Stock In-Out'!J:J,'Stock In-Out'!A:A,Inventory!A247)</f>
        <v>0</v>
      </c>
      <c r="I247" s="8">
        <f>SUMIFS('Product Master'!H:H,'Product Master'!D:D,Inventory!A247)+SUMIFS('Stock In-Out'!K:K,'Stock In-Out'!A:A,Inventory!A247)-SUMIFS('Stock In-Out'!L:L,'Stock In-Out'!A:A,Inventory!A247)</f>
        <v>0</v>
      </c>
      <c r="J247" s="8">
        <f>SUMIFS('Product Master'!I:I,'Product Master'!D:D,Inventory!A247)+SUMIFS('Stock In-Out'!M:M,'Stock In-Out'!A:A,Inventory!A247)-SUMIFS('Stock In-Out'!N:N,'Stock In-Out'!A:A,Inventory!A247)</f>
        <v>0</v>
      </c>
      <c r="K247" s="8" t="str">
        <f>IFERROR(VLOOKUP(A247,'Product Master'!D:N,7,0),"")</f>
        <v/>
      </c>
      <c r="L247" s="6" t="str">
        <f>IFERROR(VLOOKUP(A247,'Product Master'!D244:F20243,3,0),"")</f>
        <v/>
      </c>
    </row>
    <row r="248" spans="1:12" x14ac:dyDescent="0.2">
      <c r="A248" s="1"/>
      <c r="B248" s="8">
        <f>SUMIFS('Stock In-Out'!D:D,'Stock In-Out'!B:B,"Opening Stock",'Stock In-Out'!A:A,Inventory!A248)</f>
        <v>0</v>
      </c>
      <c r="C248" s="8">
        <f>SUMIFS('Stock In-Out'!D:D,'Stock In-Out'!B:B,"In",'Stock In-Out'!A:A,Inventory!A248)</f>
        <v>0</v>
      </c>
      <c r="D248" s="8">
        <f>SUMIFS('Stock In-Out'!D:D,'Stock In-Out'!B:B,"Out",'Stock In-Out'!A:A,Inventory!A248)</f>
        <v>0</v>
      </c>
      <c r="E248" s="8">
        <f t="shared" si="4"/>
        <v>0</v>
      </c>
      <c r="F248" s="8" t="str">
        <f>IFERROR(VLOOKUP(A248,'Product Master'!D:N,10,0)*E248,"")</f>
        <v/>
      </c>
      <c r="G248" s="9" t="str">
        <f>IFERROR(VLOOKUP(A248,'Product Master'!D:N,11,0)*E248,"")</f>
        <v/>
      </c>
      <c r="H248" s="8">
        <f>SUMIFS('Product Master'!G:G,'Product Master'!D:D,Inventory!A248)+SUMIFS('Stock In-Out'!I:I,'Stock In-Out'!A:A,Inventory!A248)-SUMIFS('Stock In-Out'!J:J,'Stock In-Out'!A:A,Inventory!A248)</f>
        <v>0</v>
      </c>
      <c r="I248" s="8">
        <f>SUMIFS('Product Master'!H:H,'Product Master'!D:D,Inventory!A248)+SUMIFS('Stock In-Out'!K:K,'Stock In-Out'!A:A,Inventory!A248)-SUMIFS('Stock In-Out'!L:L,'Stock In-Out'!A:A,Inventory!A248)</f>
        <v>0</v>
      </c>
      <c r="J248" s="8">
        <f>SUMIFS('Product Master'!I:I,'Product Master'!D:D,Inventory!A248)+SUMIFS('Stock In-Out'!M:M,'Stock In-Out'!A:A,Inventory!A248)-SUMIFS('Stock In-Out'!N:N,'Stock In-Out'!A:A,Inventory!A248)</f>
        <v>0</v>
      </c>
      <c r="K248" s="8" t="str">
        <f>IFERROR(VLOOKUP(A248,'Product Master'!D:N,7,0),"")</f>
        <v/>
      </c>
      <c r="L248" s="6" t="str">
        <f>IFERROR(VLOOKUP(A248,'Product Master'!D245:F20244,3,0),"")</f>
        <v/>
      </c>
    </row>
    <row r="249" spans="1:12" x14ac:dyDescent="0.2">
      <c r="A249" s="1"/>
      <c r="B249" s="8">
        <f>SUMIFS('Stock In-Out'!D:D,'Stock In-Out'!B:B,"Opening Stock",'Stock In-Out'!A:A,Inventory!A249)</f>
        <v>0</v>
      </c>
      <c r="C249" s="8">
        <f>SUMIFS('Stock In-Out'!D:D,'Stock In-Out'!B:B,"In",'Stock In-Out'!A:A,Inventory!A249)</f>
        <v>0</v>
      </c>
      <c r="D249" s="8">
        <f>SUMIFS('Stock In-Out'!D:D,'Stock In-Out'!B:B,"Out",'Stock In-Out'!A:A,Inventory!A249)</f>
        <v>0</v>
      </c>
      <c r="E249" s="8">
        <f t="shared" si="4"/>
        <v>0</v>
      </c>
      <c r="F249" s="8" t="str">
        <f>IFERROR(VLOOKUP(A249,'Product Master'!D:N,10,0)*E249,"")</f>
        <v/>
      </c>
      <c r="G249" s="9" t="str">
        <f>IFERROR(VLOOKUP(A249,'Product Master'!D:N,11,0)*E249,"")</f>
        <v/>
      </c>
      <c r="H249" s="8">
        <f>SUMIFS('Product Master'!G:G,'Product Master'!D:D,Inventory!A249)+SUMIFS('Stock In-Out'!I:I,'Stock In-Out'!A:A,Inventory!A249)-SUMIFS('Stock In-Out'!J:J,'Stock In-Out'!A:A,Inventory!A249)</f>
        <v>0</v>
      </c>
      <c r="I249" s="8">
        <f>SUMIFS('Product Master'!H:H,'Product Master'!D:D,Inventory!A249)+SUMIFS('Stock In-Out'!K:K,'Stock In-Out'!A:A,Inventory!A249)-SUMIFS('Stock In-Out'!L:L,'Stock In-Out'!A:A,Inventory!A249)</f>
        <v>0</v>
      </c>
      <c r="J249" s="8">
        <f>SUMIFS('Product Master'!I:I,'Product Master'!D:D,Inventory!A249)+SUMIFS('Stock In-Out'!M:M,'Stock In-Out'!A:A,Inventory!A249)-SUMIFS('Stock In-Out'!N:N,'Stock In-Out'!A:A,Inventory!A249)</f>
        <v>0</v>
      </c>
      <c r="K249" s="8" t="str">
        <f>IFERROR(VLOOKUP(A249,'Product Master'!D:N,7,0),"")</f>
        <v/>
      </c>
      <c r="L249" s="6" t="str">
        <f>IFERROR(VLOOKUP(A249,'Product Master'!D246:F20245,3,0),"")</f>
        <v/>
      </c>
    </row>
    <row r="250" spans="1:12" x14ac:dyDescent="0.2">
      <c r="A250" s="1"/>
      <c r="B250" s="8">
        <f>SUMIFS('Stock In-Out'!D:D,'Stock In-Out'!B:B,"Opening Stock",'Stock In-Out'!A:A,Inventory!A250)</f>
        <v>0</v>
      </c>
      <c r="C250" s="8">
        <f>SUMIFS('Stock In-Out'!D:D,'Stock In-Out'!B:B,"In",'Stock In-Out'!A:A,Inventory!A250)</f>
        <v>0</v>
      </c>
      <c r="D250" s="8">
        <f>SUMIFS('Stock In-Out'!D:D,'Stock In-Out'!B:B,"Out",'Stock In-Out'!A:A,Inventory!A250)</f>
        <v>0</v>
      </c>
      <c r="E250" s="8">
        <f t="shared" si="4"/>
        <v>0</v>
      </c>
      <c r="F250" s="8" t="str">
        <f>IFERROR(VLOOKUP(A250,'Product Master'!D:N,10,0)*E250,"")</f>
        <v/>
      </c>
      <c r="G250" s="9" t="str">
        <f>IFERROR(VLOOKUP(A250,'Product Master'!D:N,11,0)*E250,"")</f>
        <v/>
      </c>
      <c r="H250" s="8">
        <f>SUMIFS('Product Master'!G:G,'Product Master'!D:D,Inventory!A250)+SUMIFS('Stock In-Out'!I:I,'Stock In-Out'!A:A,Inventory!A250)-SUMIFS('Stock In-Out'!J:J,'Stock In-Out'!A:A,Inventory!A250)</f>
        <v>0</v>
      </c>
      <c r="I250" s="8">
        <f>SUMIFS('Product Master'!H:H,'Product Master'!D:D,Inventory!A250)+SUMIFS('Stock In-Out'!K:K,'Stock In-Out'!A:A,Inventory!A250)-SUMIFS('Stock In-Out'!L:L,'Stock In-Out'!A:A,Inventory!A250)</f>
        <v>0</v>
      </c>
      <c r="J250" s="8">
        <f>SUMIFS('Product Master'!I:I,'Product Master'!D:D,Inventory!A250)+SUMIFS('Stock In-Out'!M:M,'Stock In-Out'!A:A,Inventory!A250)-SUMIFS('Stock In-Out'!N:N,'Stock In-Out'!A:A,Inventory!A250)</f>
        <v>0</v>
      </c>
      <c r="K250" s="8" t="str">
        <f>IFERROR(VLOOKUP(A250,'Product Master'!D:N,7,0),"")</f>
        <v/>
      </c>
      <c r="L250" s="6" t="str">
        <f>IFERROR(VLOOKUP(A250,'Product Master'!D247:F20246,3,0),"")</f>
        <v/>
      </c>
    </row>
    <row r="251" spans="1:12" x14ac:dyDescent="0.2">
      <c r="A251" s="1"/>
      <c r="B251" s="8">
        <f>SUMIFS('Stock In-Out'!D:D,'Stock In-Out'!B:B,"Opening Stock",'Stock In-Out'!A:A,Inventory!A251)</f>
        <v>0</v>
      </c>
      <c r="C251" s="8">
        <f>SUMIFS('Stock In-Out'!D:D,'Stock In-Out'!B:B,"In",'Stock In-Out'!A:A,Inventory!A251)</f>
        <v>0</v>
      </c>
      <c r="D251" s="8">
        <f>SUMIFS('Stock In-Out'!D:D,'Stock In-Out'!B:B,"Out",'Stock In-Out'!A:A,Inventory!A251)</f>
        <v>0</v>
      </c>
      <c r="E251" s="8">
        <f t="shared" si="4"/>
        <v>0</v>
      </c>
      <c r="F251" s="8" t="str">
        <f>IFERROR(VLOOKUP(A251,'Product Master'!D:N,10,0)*E251,"")</f>
        <v/>
      </c>
      <c r="G251" s="9" t="str">
        <f>IFERROR(VLOOKUP(A251,'Product Master'!D:N,11,0)*E251,"")</f>
        <v/>
      </c>
      <c r="H251" s="8">
        <f>SUMIFS('Product Master'!G:G,'Product Master'!D:D,Inventory!A251)+SUMIFS('Stock In-Out'!I:I,'Stock In-Out'!A:A,Inventory!A251)-SUMIFS('Stock In-Out'!J:J,'Stock In-Out'!A:A,Inventory!A251)</f>
        <v>0</v>
      </c>
      <c r="I251" s="8">
        <f>SUMIFS('Product Master'!H:H,'Product Master'!D:D,Inventory!A251)+SUMIFS('Stock In-Out'!K:K,'Stock In-Out'!A:A,Inventory!A251)-SUMIFS('Stock In-Out'!L:L,'Stock In-Out'!A:A,Inventory!A251)</f>
        <v>0</v>
      </c>
      <c r="J251" s="8">
        <f>SUMIFS('Product Master'!I:I,'Product Master'!D:D,Inventory!A251)+SUMIFS('Stock In-Out'!M:M,'Stock In-Out'!A:A,Inventory!A251)-SUMIFS('Stock In-Out'!N:N,'Stock In-Out'!A:A,Inventory!A251)</f>
        <v>0</v>
      </c>
      <c r="K251" s="8" t="str">
        <f>IFERROR(VLOOKUP(A251,'Product Master'!D:N,7,0),"")</f>
        <v/>
      </c>
      <c r="L251" s="6" t="str">
        <f>IFERROR(VLOOKUP(A251,'Product Master'!D248:F20247,3,0),"")</f>
        <v/>
      </c>
    </row>
    <row r="252" spans="1:12" x14ac:dyDescent="0.2">
      <c r="A252" s="1"/>
      <c r="B252" s="8">
        <f>SUMIFS('Stock In-Out'!D:D,'Stock In-Out'!B:B,"Opening Stock",'Stock In-Out'!A:A,Inventory!A252)</f>
        <v>0</v>
      </c>
      <c r="C252" s="8">
        <f>SUMIFS('Stock In-Out'!D:D,'Stock In-Out'!B:B,"In",'Stock In-Out'!A:A,Inventory!A252)</f>
        <v>0</v>
      </c>
      <c r="D252" s="8">
        <f>SUMIFS('Stock In-Out'!D:D,'Stock In-Out'!B:B,"Out",'Stock In-Out'!A:A,Inventory!A252)</f>
        <v>0</v>
      </c>
      <c r="E252" s="8">
        <f t="shared" si="4"/>
        <v>0</v>
      </c>
      <c r="F252" s="8" t="str">
        <f>IFERROR(VLOOKUP(A252,'Product Master'!D:N,10,0)*E252,"")</f>
        <v/>
      </c>
      <c r="G252" s="9" t="str">
        <f>IFERROR(VLOOKUP(A252,'Product Master'!D:N,11,0)*E252,"")</f>
        <v/>
      </c>
      <c r="H252" s="8">
        <f>SUMIFS('Product Master'!G:G,'Product Master'!D:D,Inventory!A252)+SUMIFS('Stock In-Out'!I:I,'Stock In-Out'!A:A,Inventory!A252)-SUMIFS('Stock In-Out'!J:J,'Stock In-Out'!A:A,Inventory!A252)</f>
        <v>0</v>
      </c>
      <c r="I252" s="8">
        <f>SUMIFS('Product Master'!H:H,'Product Master'!D:D,Inventory!A252)+SUMIFS('Stock In-Out'!K:K,'Stock In-Out'!A:A,Inventory!A252)-SUMIFS('Stock In-Out'!L:L,'Stock In-Out'!A:A,Inventory!A252)</f>
        <v>0</v>
      </c>
      <c r="J252" s="8">
        <f>SUMIFS('Product Master'!I:I,'Product Master'!D:D,Inventory!A252)+SUMIFS('Stock In-Out'!M:M,'Stock In-Out'!A:A,Inventory!A252)-SUMIFS('Stock In-Out'!N:N,'Stock In-Out'!A:A,Inventory!A252)</f>
        <v>0</v>
      </c>
      <c r="K252" s="8" t="str">
        <f>IFERROR(VLOOKUP(A252,'Product Master'!D:N,7,0),"")</f>
        <v/>
      </c>
      <c r="L252" s="6" t="str">
        <f>IFERROR(VLOOKUP(A252,'Product Master'!D249:F20248,3,0),"")</f>
        <v/>
      </c>
    </row>
    <row r="253" spans="1:12" x14ac:dyDescent="0.2">
      <c r="A253" s="1"/>
      <c r="B253" s="8">
        <f>SUMIFS('Stock In-Out'!D:D,'Stock In-Out'!B:B,"Opening Stock",'Stock In-Out'!A:A,Inventory!A253)</f>
        <v>0</v>
      </c>
      <c r="C253" s="8">
        <f>SUMIFS('Stock In-Out'!D:D,'Stock In-Out'!B:B,"In",'Stock In-Out'!A:A,Inventory!A253)</f>
        <v>0</v>
      </c>
      <c r="D253" s="8">
        <f>SUMIFS('Stock In-Out'!D:D,'Stock In-Out'!B:B,"Out",'Stock In-Out'!A:A,Inventory!A253)</f>
        <v>0</v>
      </c>
      <c r="E253" s="8">
        <f t="shared" si="4"/>
        <v>0</v>
      </c>
      <c r="F253" s="8" t="str">
        <f>IFERROR(VLOOKUP(A253,'Product Master'!D:N,10,0)*E253,"")</f>
        <v/>
      </c>
      <c r="G253" s="9" t="str">
        <f>IFERROR(VLOOKUP(A253,'Product Master'!D:N,11,0)*E253,"")</f>
        <v/>
      </c>
      <c r="H253" s="8">
        <f>SUMIFS('Product Master'!G:G,'Product Master'!D:D,Inventory!A253)+SUMIFS('Stock In-Out'!I:I,'Stock In-Out'!A:A,Inventory!A253)-SUMIFS('Stock In-Out'!J:J,'Stock In-Out'!A:A,Inventory!A253)</f>
        <v>0</v>
      </c>
      <c r="I253" s="8">
        <f>SUMIFS('Product Master'!H:H,'Product Master'!D:D,Inventory!A253)+SUMIFS('Stock In-Out'!K:K,'Stock In-Out'!A:A,Inventory!A253)-SUMIFS('Stock In-Out'!L:L,'Stock In-Out'!A:A,Inventory!A253)</f>
        <v>0</v>
      </c>
      <c r="J253" s="8">
        <f>SUMIFS('Product Master'!I:I,'Product Master'!D:D,Inventory!A253)+SUMIFS('Stock In-Out'!M:M,'Stock In-Out'!A:A,Inventory!A253)-SUMIFS('Stock In-Out'!N:N,'Stock In-Out'!A:A,Inventory!A253)</f>
        <v>0</v>
      </c>
      <c r="K253" s="8" t="str">
        <f>IFERROR(VLOOKUP(A253,'Product Master'!D:N,7,0),"")</f>
        <v/>
      </c>
      <c r="L253" s="6" t="str">
        <f>IFERROR(VLOOKUP(A253,'Product Master'!D250:F20249,3,0),"")</f>
        <v/>
      </c>
    </row>
    <row r="254" spans="1:12" x14ac:dyDescent="0.2">
      <c r="A254" s="1"/>
      <c r="B254" s="8">
        <f>SUMIFS('Stock In-Out'!D:D,'Stock In-Out'!B:B,"Opening Stock",'Stock In-Out'!A:A,Inventory!A254)</f>
        <v>0</v>
      </c>
      <c r="C254" s="8">
        <f>SUMIFS('Stock In-Out'!D:D,'Stock In-Out'!B:B,"In",'Stock In-Out'!A:A,Inventory!A254)</f>
        <v>0</v>
      </c>
      <c r="D254" s="8">
        <f>SUMIFS('Stock In-Out'!D:D,'Stock In-Out'!B:B,"Out",'Stock In-Out'!A:A,Inventory!A254)</f>
        <v>0</v>
      </c>
      <c r="E254" s="8">
        <f t="shared" si="4"/>
        <v>0</v>
      </c>
      <c r="F254" s="8" t="str">
        <f>IFERROR(VLOOKUP(A254,'Product Master'!D:N,10,0)*E254,"")</f>
        <v/>
      </c>
      <c r="G254" s="9" t="str">
        <f>IFERROR(VLOOKUP(A254,'Product Master'!D:N,11,0)*E254,"")</f>
        <v/>
      </c>
      <c r="H254" s="8">
        <f>SUMIFS('Product Master'!G:G,'Product Master'!D:D,Inventory!A254)+SUMIFS('Stock In-Out'!I:I,'Stock In-Out'!A:A,Inventory!A254)-SUMIFS('Stock In-Out'!J:J,'Stock In-Out'!A:A,Inventory!A254)</f>
        <v>0</v>
      </c>
      <c r="I254" s="8">
        <f>SUMIFS('Product Master'!H:H,'Product Master'!D:D,Inventory!A254)+SUMIFS('Stock In-Out'!K:K,'Stock In-Out'!A:A,Inventory!A254)-SUMIFS('Stock In-Out'!L:L,'Stock In-Out'!A:A,Inventory!A254)</f>
        <v>0</v>
      </c>
      <c r="J254" s="8">
        <f>SUMIFS('Product Master'!I:I,'Product Master'!D:D,Inventory!A254)+SUMIFS('Stock In-Out'!M:M,'Stock In-Out'!A:A,Inventory!A254)-SUMIFS('Stock In-Out'!N:N,'Stock In-Out'!A:A,Inventory!A254)</f>
        <v>0</v>
      </c>
      <c r="K254" s="8" t="str">
        <f>IFERROR(VLOOKUP(A254,'Product Master'!D:N,7,0),"")</f>
        <v/>
      </c>
      <c r="L254" s="6" t="str">
        <f>IFERROR(VLOOKUP(A254,'Product Master'!D251:F20250,3,0),"")</f>
        <v/>
      </c>
    </row>
    <row r="255" spans="1:12" x14ac:dyDescent="0.2">
      <c r="A255" s="1"/>
      <c r="B255" s="8">
        <f>SUMIFS('Stock In-Out'!D:D,'Stock In-Out'!B:B,"Opening Stock",'Stock In-Out'!A:A,Inventory!A255)</f>
        <v>0</v>
      </c>
      <c r="C255" s="8">
        <f>SUMIFS('Stock In-Out'!D:D,'Stock In-Out'!B:B,"In",'Stock In-Out'!A:A,Inventory!A255)</f>
        <v>0</v>
      </c>
      <c r="D255" s="8">
        <f>SUMIFS('Stock In-Out'!D:D,'Stock In-Out'!B:B,"Out",'Stock In-Out'!A:A,Inventory!A255)</f>
        <v>0</v>
      </c>
      <c r="E255" s="8">
        <f t="shared" si="4"/>
        <v>0</v>
      </c>
      <c r="F255" s="8" t="str">
        <f>IFERROR(VLOOKUP(A255,'Product Master'!D:N,10,0)*E255,"")</f>
        <v/>
      </c>
      <c r="G255" s="9" t="str">
        <f>IFERROR(VLOOKUP(A255,'Product Master'!D:N,11,0)*E255,"")</f>
        <v/>
      </c>
      <c r="H255" s="8">
        <f>SUMIFS('Product Master'!G:G,'Product Master'!D:D,Inventory!A255)+SUMIFS('Stock In-Out'!I:I,'Stock In-Out'!A:A,Inventory!A255)-SUMIFS('Stock In-Out'!J:J,'Stock In-Out'!A:A,Inventory!A255)</f>
        <v>0</v>
      </c>
      <c r="I255" s="8">
        <f>SUMIFS('Product Master'!H:H,'Product Master'!D:D,Inventory!A255)+SUMIFS('Stock In-Out'!K:K,'Stock In-Out'!A:A,Inventory!A255)-SUMIFS('Stock In-Out'!L:L,'Stock In-Out'!A:A,Inventory!A255)</f>
        <v>0</v>
      </c>
      <c r="J255" s="8">
        <f>SUMIFS('Product Master'!I:I,'Product Master'!D:D,Inventory!A255)+SUMIFS('Stock In-Out'!M:M,'Stock In-Out'!A:A,Inventory!A255)-SUMIFS('Stock In-Out'!N:N,'Stock In-Out'!A:A,Inventory!A255)</f>
        <v>0</v>
      </c>
      <c r="K255" s="8" t="str">
        <f>IFERROR(VLOOKUP(A255,'Product Master'!D:N,7,0),"")</f>
        <v/>
      </c>
      <c r="L255" s="6" t="str">
        <f>IFERROR(VLOOKUP(A255,'Product Master'!D252:F20251,3,0),"")</f>
        <v/>
      </c>
    </row>
    <row r="256" spans="1:12" x14ac:dyDescent="0.2">
      <c r="A256" s="1"/>
      <c r="B256" s="8">
        <f>SUMIFS('Stock In-Out'!D:D,'Stock In-Out'!B:B,"Opening Stock",'Stock In-Out'!A:A,Inventory!A256)</f>
        <v>0</v>
      </c>
      <c r="C256" s="8">
        <f>SUMIFS('Stock In-Out'!D:D,'Stock In-Out'!B:B,"In",'Stock In-Out'!A:A,Inventory!A256)</f>
        <v>0</v>
      </c>
      <c r="D256" s="8">
        <f>SUMIFS('Stock In-Out'!D:D,'Stock In-Out'!B:B,"Out",'Stock In-Out'!A:A,Inventory!A256)</f>
        <v>0</v>
      </c>
      <c r="E256" s="8">
        <f t="shared" si="4"/>
        <v>0</v>
      </c>
      <c r="F256" s="8" t="str">
        <f>IFERROR(VLOOKUP(A256,'Product Master'!D:N,10,0)*E256,"")</f>
        <v/>
      </c>
      <c r="G256" s="9" t="str">
        <f>IFERROR(VLOOKUP(A256,'Product Master'!D:N,11,0)*E256,"")</f>
        <v/>
      </c>
      <c r="H256" s="8">
        <f>SUMIFS('Product Master'!G:G,'Product Master'!D:D,Inventory!A256)+SUMIFS('Stock In-Out'!I:I,'Stock In-Out'!A:A,Inventory!A256)-SUMIFS('Stock In-Out'!J:J,'Stock In-Out'!A:A,Inventory!A256)</f>
        <v>0</v>
      </c>
      <c r="I256" s="8">
        <f>SUMIFS('Product Master'!H:H,'Product Master'!D:D,Inventory!A256)+SUMIFS('Stock In-Out'!K:K,'Stock In-Out'!A:A,Inventory!A256)-SUMIFS('Stock In-Out'!L:L,'Stock In-Out'!A:A,Inventory!A256)</f>
        <v>0</v>
      </c>
      <c r="J256" s="8">
        <f>SUMIFS('Product Master'!I:I,'Product Master'!D:D,Inventory!A256)+SUMIFS('Stock In-Out'!M:M,'Stock In-Out'!A:A,Inventory!A256)-SUMIFS('Stock In-Out'!N:N,'Stock In-Out'!A:A,Inventory!A256)</f>
        <v>0</v>
      </c>
      <c r="K256" s="8" t="str">
        <f>IFERROR(VLOOKUP(A256,'Product Master'!D:N,7,0),"")</f>
        <v/>
      </c>
      <c r="L256" s="6" t="str">
        <f>IFERROR(VLOOKUP(A256,'Product Master'!D253:F20252,3,0),"")</f>
        <v/>
      </c>
    </row>
    <row r="257" spans="1:12" x14ac:dyDescent="0.2">
      <c r="A257" s="1"/>
      <c r="B257" s="8">
        <f>SUMIFS('Stock In-Out'!D:D,'Stock In-Out'!B:B,"Opening Stock",'Stock In-Out'!A:A,Inventory!A257)</f>
        <v>0</v>
      </c>
      <c r="C257" s="8">
        <f>SUMIFS('Stock In-Out'!D:D,'Stock In-Out'!B:B,"In",'Stock In-Out'!A:A,Inventory!A257)</f>
        <v>0</v>
      </c>
      <c r="D257" s="8">
        <f>SUMIFS('Stock In-Out'!D:D,'Stock In-Out'!B:B,"Out",'Stock In-Out'!A:A,Inventory!A257)</f>
        <v>0</v>
      </c>
      <c r="E257" s="8">
        <f t="shared" si="4"/>
        <v>0</v>
      </c>
      <c r="F257" s="8" t="str">
        <f>IFERROR(VLOOKUP(A257,'Product Master'!D:N,10,0)*E257,"")</f>
        <v/>
      </c>
      <c r="G257" s="9" t="str">
        <f>IFERROR(VLOOKUP(A257,'Product Master'!D:N,11,0)*E257,"")</f>
        <v/>
      </c>
      <c r="H257" s="8">
        <f>SUMIFS('Product Master'!G:G,'Product Master'!D:D,Inventory!A257)+SUMIFS('Stock In-Out'!I:I,'Stock In-Out'!A:A,Inventory!A257)-SUMIFS('Stock In-Out'!J:J,'Stock In-Out'!A:A,Inventory!A257)</f>
        <v>0</v>
      </c>
      <c r="I257" s="8">
        <f>SUMIFS('Product Master'!H:H,'Product Master'!D:D,Inventory!A257)+SUMIFS('Stock In-Out'!K:K,'Stock In-Out'!A:A,Inventory!A257)-SUMIFS('Stock In-Out'!L:L,'Stock In-Out'!A:A,Inventory!A257)</f>
        <v>0</v>
      </c>
      <c r="J257" s="8">
        <f>SUMIFS('Product Master'!I:I,'Product Master'!D:D,Inventory!A257)+SUMIFS('Stock In-Out'!M:M,'Stock In-Out'!A:A,Inventory!A257)-SUMIFS('Stock In-Out'!N:N,'Stock In-Out'!A:A,Inventory!A257)</f>
        <v>0</v>
      </c>
      <c r="K257" s="8" t="str">
        <f>IFERROR(VLOOKUP(A257,'Product Master'!D:N,7,0),"")</f>
        <v/>
      </c>
      <c r="L257" s="6" t="str">
        <f>IFERROR(VLOOKUP(A257,'Product Master'!D254:F20253,3,0),"")</f>
        <v/>
      </c>
    </row>
    <row r="258" spans="1:12" x14ac:dyDescent="0.2">
      <c r="A258" s="1"/>
      <c r="B258" s="8">
        <f>SUMIFS('Stock In-Out'!D:D,'Stock In-Out'!B:B,"Opening Stock",'Stock In-Out'!A:A,Inventory!A258)</f>
        <v>0</v>
      </c>
      <c r="C258" s="8">
        <f>SUMIFS('Stock In-Out'!D:D,'Stock In-Out'!B:B,"In",'Stock In-Out'!A:A,Inventory!A258)</f>
        <v>0</v>
      </c>
      <c r="D258" s="8">
        <f>SUMIFS('Stock In-Out'!D:D,'Stock In-Out'!B:B,"Out",'Stock In-Out'!A:A,Inventory!A258)</f>
        <v>0</v>
      </c>
      <c r="E258" s="8">
        <f t="shared" si="4"/>
        <v>0</v>
      </c>
      <c r="F258" s="8" t="str">
        <f>IFERROR(VLOOKUP(A258,'Product Master'!D:N,10,0)*E258,"")</f>
        <v/>
      </c>
      <c r="G258" s="9" t="str">
        <f>IFERROR(VLOOKUP(A258,'Product Master'!D:N,11,0)*E258,"")</f>
        <v/>
      </c>
      <c r="H258" s="8">
        <f>SUMIFS('Product Master'!G:G,'Product Master'!D:D,Inventory!A258)+SUMIFS('Stock In-Out'!I:I,'Stock In-Out'!A:A,Inventory!A258)-SUMIFS('Stock In-Out'!J:J,'Stock In-Out'!A:A,Inventory!A258)</f>
        <v>0</v>
      </c>
      <c r="I258" s="8">
        <f>SUMIFS('Product Master'!H:H,'Product Master'!D:D,Inventory!A258)+SUMIFS('Stock In-Out'!K:K,'Stock In-Out'!A:A,Inventory!A258)-SUMIFS('Stock In-Out'!L:L,'Stock In-Out'!A:A,Inventory!A258)</f>
        <v>0</v>
      </c>
      <c r="J258" s="8">
        <f>SUMIFS('Product Master'!I:I,'Product Master'!D:D,Inventory!A258)+SUMIFS('Stock In-Out'!M:M,'Stock In-Out'!A:A,Inventory!A258)-SUMIFS('Stock In-Out'!N:N,'Stock In-Out'!A:A,Inventory!A258)</f>
        <v>0</v>
      </c>
      <c r="K258" s="8" t="str">
        <f>IFERROR(VLOOKUP(A258,'Product Master'!D:N,7,0),"")</f>
        <v/>
      </c>
      <c r="L258" s="6" t="str">
        <f>IFERROR(VLOOKUP(A258,'Product Master'!D255:F20254,3,0),"")</f>
        <v/>
      </c>
    </row>
    <row r="259" spans="1:12" x14ac:dyDescent="0.2">
      <c r="A259" s="1"/>
      <c r="B259" s="8">
        <f>SUMIFS('Stock In-Out'!D:D,'Stock In-Out'!B:B,"Opening Stock",'Stock In-Out'!A:A,Inventory!A259)</f>
        <v>0</v>
      </c>
      <c r="C259" s="8">
        <f>SUMIFS('Stock In-Out'!D:D,'Stock In-Out'!B:B,"In",'Stock In-Out'!A:A,Inventory!A259)</f>
        <v>0</v>
      </c>
      <c r="D259" s="8">
        <f>SUMIFS('Stock In-Out'!D:D,'Stock In-Out'!B:B,"Out",'Stock In-Out'!A:A,Inventory!A259)</f>
        <v>0</v>
      </c>
      <c r="E259" s="8">
        <f t="shared" si="4"/>
        <v>0</v>
      </c>
      <c r="F259" s="8" t="str">
        <f>IFERROR(VLOOKUP(A259,'Product Master'!D:N,10,0)*E259,"")</f>
        <v/>
      </c>
      <c r="G259" s="9" t="str">
        <f>IFERROR(VLOOKUP(A259,'Product Master'!D:N,11,0)*E259,"")</f>
        <v/>
      </c>
      <c r="H259" s="8">
        <f>SUMIFS('Product Master'!G:G,'Product Master'!D:D,Inventory!A259)+SUMIFS('Stock In-Out'!I:I,'Stock In-Out'!A:A,Inventory!A259)-SUMIFS('Stock In-Out'!J:J,'Stock In-Out'!A:A,Inventory!A259)</f>
        <v>0</v>
      </c>
      <c r="I259" s="8">
        <f>SUMIFS('Product Master'!H:H,'Product Master'!D:D,Inventory!A259)+SUMIFS('Stock In-Out'!K:K,'Stock In-Out'!A:A,Inventory!A259)-SUMIFS('Stock In-Out'!L:L,'Stock In-Out'!A:A,Inventory!A259)</f>
        <v>0</v>
      </c>
      <c r="J259" s="8">
        <f>SUMIFS('Product Master'!I:I,'Product Master'!D:D,Inventory!A259)+SUMIFS('Stock In-Out'!M:M,'Stock In-Out'!A:A,Inventory!A259)-SUMIFS('Stock In-Out'!N:N,'Stock In-Out'!A:A,Inventory!A259)</f>
        <v>0</v>
      </c>
      <c r="K259" s="8" t="str">
        <f>IFERROR(VLOOKUP(A259,'Product Master'!D:N,7,0),"")</f>
        <v/>
      </c>
      <c r="L259" s="6" t="str">
        <f>IFERROR(VLOOKUP(A259,'Product Master'!D256:F20255,3,0),"")</f>
        <v/>
      </c>
    </row>
    <row r="260" spans="1:12" x14ac:dyDescent="0.2">
      <c r="A260" s="1"/>
      <c r="B260" s="8">
        <f>SUMIFS('Stock In-Out'!D:D,'Stock In-Out'!B:B,"Opening Stock",'Stock In-Out'!A:A,Inventory!A260)</f>
        <v>0</v>
      </c>
      <c r="C260" s="8">
        <f>SUMIFS('Stock In-Out'!D:D,'Stock In-Out'!B:B,"In",'Stock In-Out'!A:A,Inventory!A260)</f>
        <v>0</v>
      </c>
      <c r="D260" s="8">
        <f>SUMIFS('Stock In-Out'!D:D,'Stock In-Out'!B:B,"Out",'Stock In-Out'!A:A,Inventory!A260)</f>
        <v>0</v>
      </c>
      <c r="E260" s="8">
        <f t="shared" si="4"/>
        <v>0</v>
      </c>
      <c r="F260" s="8" t="str">
        <f>IFERROR(VLOOKUP(A260,'Product Master'!D:N,10,0)*E260,"")</f>
        <v/>
      </c>
      <c r="G260" s="9" t="str">
        <f>IFERROR(VLOOKUP(A260,'Product Master'!D:N,11,0)*E260,"")</f>
        <v/>
      </c>
      <c r="H260" s="8">
        <f>SUMIFS('Product Master'!G:G,'Product Master'!D:D,Inventory!A260)+SUMIFS('Stock In-Out'!I:I,'Stock In-Out'!A:A,Inventory!A260)-SUMIFS('Stock In-Out'!J:J,'Stock In-Out'!A:A,Inventory!A260)</f>
        <v>0</v>
      </c>
      <c r="I260" s="8">
        <f>SUMIFS('Product Master'!H:H,'Product Master'!D:D,Inventory!A260)+SUMIFS('Stock In-Out'!K:K,'Stock In-Out'!A:A,Inventory!A260)-SUMIFS('Stock In-Out'!L:L,'Stock In-Out'!A:A,Inventory!A260)</f>
        <v>0</v>
      </c>
      <c r="J260" s="8">
        <f>SUMIFS('Product Master'!I:I,'Product Master'!D:D,Inventory!A260)+SUMIFS('Stock In-Out'!M:M,'Stock In-Out'!A:A,Inventory!A260)-SUMIFS('Stock In-Out'!N:N,'Stock In-Out'!A:A,Inventory!A260)</f>
        <v>0</v>
      </c>
      <c r="K260" s="8" t="str">
        <f>IFERROR(VLOOKUP(A260,'Product Master'!D:N,7,0),"")</f>
        <v/>
      </c>
      <c r="L260" s="6" t="str">
        <f>IFERROR(VLOOKUP(A260,'Product Master'!D257:F20256,3,0),"")</f>
        <v/>
      </c>
    </row>
    <row r="261" spans="1:12" x14ac:dyDescent="0.2">
      <c r="A261" s="1"/>
      <c r="B261" s="8">
        <f>SUMIFS('Stock In-Out'!D:D,'Stock In-Out'!B:B,"Opening Stock",'Stock In-Out'!A:A,Inventory!A261)</f>
        <v>0</v>
      </c>
      <c r="C261" s="8">
        <f>SUMIFS('Stock In-Out'!D:D,'Stock In-Out'!B:B,"In",'Stock In-Out'!A:A,Inventory!A261)</f>
        <v>0</v>
      </c>
      <c r="D261" s="8">
        <f>SUMIFS('Stock In-Out'!D:D,'Stock In-Out'!B:B,"Out",'Stock In-Out'!A:A,Inventory!A261)</f>
        <v>0</v>
      </c>
      <c r="E261" s="8">
        <f t="shared" si="4"/>
        <v>0</v>
      </c>
      <c r="F261" s="8" t="str">
        <f>IFERROR(VLOOKUP(A261,'Product Master'!D:N,10,0)*E261,"")</f>
        <v/>
      </c>
      <c r="G261" s="9" t="str">
        <f>IFERROR(VLOOKUP(A261,'Product Master'!D:N,11,0)*E261,"")</f>
        <v/>
      </c>
      <c r="H261" s="8">
        <f>SUMIFS('Product Master'!G:G,'Product Master'!D:D,Inventory!A261)+SUMIFS('Stock In-Out'!I:I,'Stock In-Out'!A:A,Inventory!A261)-SUMIFS('Stock In-Out'!J:J,'Stock In-Out'!A:A,Inventory!A261)</f>
        <v>0</v>
      </c>
      <c r="I261" s="8">
        <f>SUMIFS('Product Master'!H:H,'Product Master'!D:D,Inventory!A261)+SUMIFS('Stock In-Out'!K:K,'Stock In-Out'!A:A,Inventory!A261)-SUMIFS('Stock In-Out'!L:L,'Stock In-Out'!A:A,Inventory!A261)</f>
        <v>0</v>
      </c>
      <c r="J261" s="8">
        <f>SUMIFS('Product Master'!I:I,'Product Master'!D:D,Inventory!A261)+SUMIFS('Stock In-Out'!M:M,'Stock In-Out'!A:A,Inventory!A261)-SUMIFS('Stock In-Out'!N:N,'Stock In-Out'!A:A,Inventory!A261)</f>
        <v>0</v>
      </c>
      <c r="K261" s="8" t="str">
        <f>IFERROR(VLOOKUP(A261,'Product Master'!D:N,7,0),"")</f>
        <v/>
      </c>
      <c r="L261" s="6" t="str">
        <f>IFERROR(VLOOKUP(A261,'Product Master'!D258:F20257,3,0),"")</f>
        <v/>
      </c>
    </row>
    <row r="262" spans="1:12" x14ac:dyDescent="0.2">
      <c r="A262" s="1"/>
      <c r="B262" s="8">
        <f>SUMIFS('Stock In-Out'!D:D,'Stock In-Out'!B:B,"Opening Stock",'Stock In-Out'!A:A,Inventory!A262)</f>
        <v>0</v>
      </c>
      <c r="C262" s="8">
        <f>SUMIFS('Stock In-Out'!D:D,'Stock In-Out'!B:B,"In",'Stock In-Out'!A:A,Inventory!A262)</f>
        <v>0</v>
      </c>
      <c r="D262" s="8">
        <f>SUMIFS('Stock In-Out'!D:D,'Stock In-Out'!B:B,"Out",'Stock In-Out'!A:A,Inventory!A262)</f>
        <v>0</v>
      </c>
      <c r="E262" s="8">
        <f t="shared" ref="E262:E302" si="5">B262+C262-D262</f>
        <v>0</v>
      </c>
      <c r="F262" s="8" t="str">
        <f>IFERROR(VLOOKUP(A262,'Product Master'!D:N,10,0)*E262,"")</f>
        <v/>
      </c>
      <c r="G262" s="9" t="str">
        <f>IFERROR(VLOOKUP(A262,'Product Master'!D:N,11,0)*E262,"")</f>
        <v/>
      </c>
      <c r="H262" s="8">
        <f>SUMIFS('Product Master'!G:G,'Product Master'!D:D,Inventory!A262)+SUMIFS('Stock In-Out'!I:I,'Stock In-Out'!A:A,Inventory!A262)-SUMIFS('Stock In-Out'!J:J,'Stock In-Out'!A:A,Inventory!A262)</f>
        <v>0</v>
      </c>
      <c r="I262" s="8">
        <f>SUMIFS('Product Master'!H:H,'Product Master'!D:D,Inventory!A262)+SUMIFS('Stock In-Out'!K:K,'Stock In-Out'!A:A,Inventory!A262)-SUMIFS('Stock In-Out'!L:L,'Stock In-Out'!A:A,Inventory!A262)</f>
        <v>0</v>
      </c>
      <c r="J262" s="8">
        <f>SUMIFS('Product Master'!I:I,'Product Master'!D:D,Inventory!A262)+SUMIFS('Stock In-Out'!M:M,'Stock In-Out'!A:A,Inventory!A262)-SUMIFS('Stock In-Out'!N:N,'Stock In-Out'!A:A,Inventory!A262)</f>
        <v>0</v>
      </c>
      <c r="K262" s="8" t="str">
        <f>IFERROR(VLOOKUP(A262,'Product Master'!D:N,7,0),"")</f>
        <v/>
      </c>
      <c r="L262" s="6" t="str">
        <f>IFERROR(VLOOKUP(A262,'Product Master'!D259:F20258,3,0),"")</f>
        <v/>
      </c>
    </row>
    <row r="263" spans="1:12" x14ac:dyDescent="0.2">
      <c r="A263" s="1"/>
      <c r="B263" s="8">
        <f>SUMIFS('Stock In-Out'!D:D,'Stock In-Out'!B:B,"Opening Stock",'Stock In-Out'!A:A,Inventory!A263)</f>
        <v>0</v>
      </c>
      <c r="C263" s="8">
        <f>SUMIFS('Stock In-Out'!D:D,'Stock In-Out'!B:B,"In",'Stock In-Out'!A:A,Inventory!A263)</f>
        <v>0</v>
      </c>
      <c r="D263" s="8">
        <f>SUMIFS('Stock In-Out'!D:D,'Stock In-Out'!B:B,"Out",'Stock In-Out'!A:A,Inventory!A263)</f>
        <v>0</v>
      </c>
      <c r="E263" s="8">
        <f t="shared" si="5"/>
        <v>0</v>
      </c>
      <c r="F263" s="8" t="str">
        <f>IFERROR(VLOOKUP(A263,'Product Master'!D:N,10,0)*E263,"")</f>
        <v/>
      </c>
      <c r="G263" s="9" t="str">
        <f>IFERROR(VLOOKUP(A263,'Product Master'!D:N,11,0)*E263,"")</f>
        <v/>
      </c>
      <c r="H263" s="8">
        <f>SUMIFS('Product Master'!G:G,'Product Master'!D:D,Inventory!A263)+SUMIFS('Stock In-Out'!I:I,'Stock In-Out'!A:A,Inventory!A263)-SUMIFS('Stock In-Out'!J:J,'Stock In-Out'!A:A,Inventory!A263)</f>
        <v>0</v>
      </c>
      <c r="I263" s="8">
        <f>SUMIFS('Product Master'!H:H,'Product Master'!D:D,Inventory!A263)+SUMIFS('Stock In-Out'!K:K,'Stock In-Out'!A:A,Inventory!A263)-SUMIFS('Stock In-Out'!L:L,'Stock In-Out'!A:A,Inventory!A263)</f>
        <v>0</v>
      </c>
      <c r="J263" s="8">
        <f>SUMIFS('Product Master'!I:I,'Product Master'!D:D,Inventory!A263)+SUMIFS('Stock In-Out'!M:M,'Stock In-Out'!A:A,Inventory!A263)-SUMIFS('Stock In-Out'!N:N,'Stock In-Out'!A:A,Inventory!A263)</f>
        <v>0</v>
      </c>
      <c r="K263" s="8" t="str">
        <f>IFERROR(VLOOKUP(A263,'Product Master'!D:N,7,0),"")</f>
        <v/>
      </c>
      <c r="L263" s="6" t="str">
        <f>IFERROR(VLOOKUP(A263,'Product Master'!D260:F20259,3,0),"")</f>
        <v/>
      </c>
    </row>
    <row r="264" spans="1:12" x14ac:dyDescent="0.2">
      <c r="A264" s="1"/>
      <c r="B264" s="8">
        <f>SUMIFS('Stock In-Out'!D:D,'Stock In-Out'!B:B,"Opening Stock",'Stock In-Out'!A:A,Inventory!A264)</f>
        <v>0</v>
      </c>
      <c r="C264" s="8">
        <f>SUMIFS('Stock In-Out'!D:D,'Stock In-Out'!B:B,"In",'Stock In-Out'!A:A,Inventory!A264)</f>
        <v>0</v>
      </c>
      <c r="D264" s="8">
        <f>SUMIFS('Stock In-Out'!D:D,'Stock In-Out'!B:B,"Out",'Stock In-Out'!A:A,Inventory!A264)</f>
        <v>0</v>
      </c>
      <c r="E264" s="8">
        <f t="shared" si="5"/>
        <v>0</v>
      </c>
      <c r="F264" s="8" t="str">
        <f>IFERROR(VLOOKUP(A264,'Product Master'!D:N,10,0)*E264,"")</f>
        <v/>
      </c>
      <c r="G264" s="9" t="str">
        <f>IFERROR(VLOOKUP(A264,'Product Master'!D:N,11,0)*E264,"")</f>
        <v/>
      </c>
      <c r="H264" s="8">
        <f>SUMIFS('Product Master'!G:G,'Product Master'!D:D,Inventory!A264)+SUMIFS('Stock In-Out'!I:I,'Stock In-Out'!A:A,Inventory!A264)-SUMIFS('Stock In-Out'!J:J,'Stock In-Out'!A:A,Inventory!A264)</f>
        <v>0</v>
      </c>
      <c r="I264" s="8">
        <f>SUMIFS('Product Master'!H:H,'Product Master'!D:D,Inventory!A264)+SUMIFS('Stock In-Out'!K:K,'Stock In-Out'!A:A,Inventory!A264)-SUMIFS('Stock In-Out'!L:L,'Stock In-Out'!A:A,Inventory!A264)</f>
        <v>0</v>
      </c>
      <c r="J264" s="8">
        <f>SUMIFS('Product Master'!I:I,'Product Master'!D:D,Inventory!A264)+SUMIFS('Stock In-Out'!M:M,'Stock In-Out'!A:A,Inventory!A264)-SUMIFS('Stock In-Out'!N:N,'Stock In-Out'!A:A,Inventory!A264)</f>
        <v>0</v>
      </c>
      <c r="K264" s="8" t="str">
        <f>IFERROR(VLOOKUP(A264,'Product Master'!D:N,7,0),"")</f>
        <v/>
      </c>
      <c r="L264" s="6" t="str">
        <f>IFERROR(VLOOKUP(A264,'Product Master'!D261:F20260,3,0),"")</f>
        <v/>
      </c>
    </row>
    <row r="265" spans="1:12" x14ac:dyDescent="0.2">
      <c r="A265" s="1"/>
      <c r="B265" s="8">
        <f>SUMIFS('Stock In-Out'!D:D,'Stock In-Out'!B:B,"Opening Stock",'Stock In-Out'!A:A,Inventory!A265)</f>
        <v>0</v>
      </c>
      <c r="C265" s="8">
        <f>SUMIFS('Stock In-Out'!D:D,'Stock In-Out'!B:B,"In",'Stock In-Out'!A:A,Inventory!A265)</f>
        <v>0</v>
      </c>
      <c r="D265" s="8">
        <f>SUMIFS('Stock In-Out'!D:D,'Stock In-Out'!B:B,"Out",'Stock In-Out'!A:A,Inventory!A265)</f>
        <v>0</v>
      </c>
      <c r="E265" s="8">
        <f t="shared" si="5"/>
        <v>0</v>
      </c>
      <c r="F265" s="8" t="str">
        <f>IFERROR(VLOOKUP(A265,'Product Master'!D:N,10,0)*E265,"")</f>
        <v/>
      </c>
      <c r="G265" s="9" t="str">
        <f>IFERROR(VLOOKUP(A265,'Product Master'!D:N,11,0)*E265,"")</f>
        <v/>
      </c>
      <c r="H265" s="8">
        <f>SUMIFS('Product Master'!G:G,'Product Master'!D:D,Inventory!A265)+SUMIFS('Stock In-Out'!I:I,'Stock In-Out'!A:A,Inventory!A265)-SUMIFS('Stock In-Out'!J:J,'Stock In-Out'!A:A,Inventory!A265)</f>
        <v>0</v>
      </c>
      <c r="I265" s="8">
        <f>SUMIFS('Product Master'!H:H,'Product Master'!D:D,Inventory!A265)+SUMIFS('Stock In-Out'!K:K,'Stock In-Out'!A:A,Inventory!A265)-SUMIFS('Stock In-Out'!L:L,'Stock In-Out'!A:A,Inventory!A265)</f>
        <v>0</v>
      </c>
      <c r="J265" s="8">
        <f>SUMIFS('Product Master'!I:I,'Product Master'!D:D,Inventory!A265)+SUMIFS('Stock In-Out'!M:M,'Stock In-Out'!A:A,Inventory!A265)-SUMIFS('Stock In-Out'!N:N,'Stock In-Out'!A:A,Inventory!A265)</f>
        <v>0</v>
      </c>
      <c r="K265" s="8" t="str">
        <f>IFERROR(VLOOKUP(A265,'Product Master'!D:N,7,0),"")</f>
        <v/>
      </c>
      <c r="L265" s="6" t="str">
        <f>IFERROR(VLOOKUP(A265,'Product Master'!D262:F20261,3,0),"")</f>
        <v/>
      </c>
    </row>
    <row r="266" spans="1:12" x14ac:dyDescent="0.2">
      <c r="A266" s="1"/>
      <c r="B266" s="8">
        <f>SUMIFS('Stock In-Out'!D:D,'Stock In-Out'!B:B,"Opening Stock",'Stock In-Out'!A:A,Inventory!A266)</f>
        <v>0</v>
      </c>
      <c r="C266" s="8">
        <f>SUMIFS('Stock In-Out'!D:D,'Stock In-Out'!B:B,"In",'Stock In-Out'!A:A,Inventory!A266)</f>
        <v>0</v>
      </c>
      <c r="D266" s="8">
        <f>SUMIFS('Stock In-Out'!D:D,'Stock In-Out'!B:B,"Out",'Stock In-Out'!A:A,Inventory!A266)</f>
        <v>0</v>
      </c>
      <c r="E266" s="8">
        <f t="shared" si="5"/>
        <v>0</v>
      </c>
      <c r="F266" s="8" t="str">
        <f>IFERROR(VLOOKUP(A266,'Product Master'!D:N,10,0)*E266,"")</f>
        <v/>
      </c>
      <c r="G266" s="9" t="str">
        <f>IFERROR(VLOOKUP(A266,'Product Master'!D:N,11,0)*E266,"")</f>
        <v/>
      </c>
      <c r="H266" s="8">
        <f>SUMIFS('Product Master'!G:G,'Product Master'!D:D,Inventory!A266)+SUMIFS('Stock In-Out'!I:I,'Stock In-Out'!A:A,Inventory!A266)-SUMIFS('Stock In-Out'!J:J,'Stock In-Out'!A:A,Inventory!A266)</f>
        <v>0</v>
      </c>
      <c r="I266" s="8">
        <f>SUMIFS('Product Master'!H:H,'Product Master'!D:D,Inventory!A266)+SUMIFS('Stock In-Out'!K:K,'Stock In-Out'!A:A,Inventory!A266)-SUMIFS('Stock In-Out'!L:L,'Stock In-Out'!A:A,Inventory!A266)</f>
        <v>0</v>
      </c>
      <c r="J266" s="8">
        <f>SUMIFS('Product Master'!I:I,'Product Master'!D:D,Inventory!A266)+SUMIFS('Stock In-Out'!M:M,'Stock In-Out'!A:A,Inventory!A266)-SUMIFS('Stock In-Out'!N:N,'Stock In-Out'!A:A,Inventory!A266)</f>
        <v>0</v>
      </c>
      <c r="K266" s="8" t="str">
        <f>IFERROR(VLOOKUP(A266,'Product Master'!D:N,7,0),"")</f>
        <v/>
      </c>
      <c r="L266" s="6" t="str">
        <f>IFERROR(VLOOKUP(A266,'Product Master'!D263:F20262,3,0),"")</f>
        <v/>
      </c>
    </row>
    <row r="267" spans="1:12" x14ac:dyDescent="0.2">
      <c r="A267" s="1"/>
      <c r="B267" s="8">
        <f>SUMIFS('Stock In-Out'!D:D,'Stock In-Out'!B:B,"Opening Stock",'Stock In-Out'!A:A,Inventory!A267)</f>
        <v>0</v>
      </c>
      <c r="C267" s="8">
        <f>SUMIFS('Stock In-Out'!D:D,'Stock In-Out'!B:B,"In",'Stock In-Out'!A:A,Inventory!A267)</f>
        <v>0</v>
      </c>
      <c r="D267" s="8">
        <f>SUMIFS('Stock In-Out'!D:D,'Stock In-Out'!B:B,"Out",'Stock In-Out'!A:A,Inventory!A267)</f>
        <v>0</v>
      </c>
      <c r="E267" s="8">
        <f t="shared" si="5"/>
        <v>0</v>
      </c>
      <c r="F267" s="8" t="str">
        <f>IFERROR(VLOOKUP(A267,'Product Master'!D:N,10,0)*E267,"")</f>
        <v/>
      </c>
      <c r="G267" s="9" t="str">
        <f>IFERROR(VLOOKUP(A267,'Product Master'!D:N,11,0)*E267,"")</f>
        <v/>
      </c>
      <c r="H267" s="8">
        <f>SUMIFS('Product Master'!G:G,'Product Master'!D:D,Inventory!A267)+SUMIFS('Stock In-Out'!I:I,'Stock In-Out'!A:A,Inventory!A267)-SUMIFS('Stock In-Out'!J:J,'Stock In-Out'!A:A,Inventory!A267)</f>
        <v>0</v>
      </c>
      <c r="I267" s="8">
        <f>SUMIFS('Product Master'!H:H,'Product Master'!D:D,Inventory!A267)+SUMIFS('Stock In-Out'!K:K,'Stock In-Out'!A:A,Inventory!A267)-SUMIFS('Stock In-Out'!L:L,'Stock In-Out'!A:A,Inventory!A267)</f>
        <v>0</v>
      </c>
      <c r="J267" s="8">
        <f>SUMIFS('Product Master'!I:I,'Product Master'!D:D,Inventory!A267)+SUMIFS('Stock In-Out'!M:M,'Stock In-Out'!A:A,Inventory!A267)-SUMIFS('Stock In-Out'!N:N,'Stock In-Out'!A:A,Inventory!A267)</f>
        <v>0</v>
      </c>
      <c r="K267" s="8" t="str">
        <f>IFERROR(VLOOKUP(A267,'Product Master'!D:N,7,0),"")</f>
        <v/>
      </c>
      <c r="L267" s="6" t="str">
        <f>IFERROR(VLOOKUP(A267,'Product Master'!D264:F20263,3,0),"")</f>
        <v/>
      </c>
    </row>
    <row r="268" spans="1:12" x14ac:dyDescent="0.2">
      <c r="A268" s="1"/>
      <c r="B268" s="8">
        <f>SUMIFS('Stock In-Out'!D:D,'Stock In-Out'!B:B,"Opening Stock",'Stock In-Out'!A:A,Inventory!A268)</f>
        <v>0</v>
      </c>
      <c r="C268" s="8">
        <f>SUMIFS('Stock In-Out'!D:D,'Stock In-Out'!B:B,"In",'Stock In-Out'!A:A,Inventory!A268)</f>
        <v>0</v>
      </c>
      <c r="D268" s="8">
        <f>SUMIFS('Stock In-Out'!D:D,'Stock In-Out'!B:B,"Out",'Stock In-Out'!A:A,Inventory!A268)</f>
        <v>0</v>
      </c>
      <c r="E268" s="8">
        <f t="shared" si="5"/>
        <v>0</v>
      </c>
      <c r="F268" s="8" t="str">
        <f>IFERROR(VLOOKUP(A268,'Product Master'!D:N,10,0)*E268,"")</f>
        <v/>
      </c>
      <c r="G268" s="9" t="str">
        <f>IFERROR(VLOOKUP(A268,'Product Master'!D:N,11,0)*E268,"")</f>
        <v/>
      </c>
      <c r="H268" s="8">
        <f>SUMIFS('Product Master'!G:G,'Product Master'!D:D,Inventory!A268)+SUMIFS('Stock In-Out'!I:I,'Stock In-Out'!A:A,Inventory!A268)-SUMIFS('Stock In-Out'!J:J,'Stock In-Out'!A:A,Inventory!A268)</f>
        <v>0</v>
      </c>
      <c r="I268" s="8">
        <f>SUMIFS('Product Master'!H:H,'Product Master'!D:D,Inventory!A268)+SUMIFS('Stock In-Out'!K:K,'Stock In-Out'!A:A,Inventory!A268)-SUMIFS('Stock In-Out'!L:L,'Stock In-Out'!A:A,Inventory!A268)</f>
        <v>0</v>
      </c>
      <c r="J268" s="8">
        <f>SUMIFS('Product Master'!I:I,'Product Master'!D:D,Inventory!A268)+SUMIFS('Stock In-Out'!M:M,'Stock In-Out'!A:A,Inventory!A268)-SUMIFS('Stock In-Out'!N:N,'Stock In-Out'!A:A,Inventory!A268)</f>
        <v>0</v>
      </c>
      <c r="K268" s="8" t="str">
        <f>IFERROR(VLOOKUP(A268,'Product Master'!D:N,7,0),"")</f>
        <v/>
      </c>
      <c r="L268" s="6" t="str">
        <f>IFERROR(VLOOKUP(A268,'Product Master'!D265:F20264,3,0),"")</f>
        <v/>
      </c>
    </row>
    <row r="269" spans="1:12" x14ac:dyDescent="0.2">
      <c r="A269" s="1"/>
      <c r="B269" s="8">
        <f>SUMIFS('Stock In-Out'!D:D,'Stock In-Out'!B:B,"Opening Stock",'Stock In-Out'!A:A,Inventory!A269)</f>
        <v>0</v>
      </c>
      <c r="C269" s="8">
        <f>SUMIFS('Stock In-Out'!D:D,'Stock In-Out'!B:B,"In",'Stock In-Out'!A:A,Inventory!A269)</f>
        <v>0</v>
      </c>
      <c r="D269" s="8">
        <f>SUMIFS('Stock In-Out'!D:D,'Stock In-Out'!B:B,"Out",'Stock In-Out'!A:A,Inventory!A269)</f>
        <v>0</v>
      </c>
      <c r="E269" s="8">
        <f t="shared" si="5"/>
        <v>0</v>
      </c>
      <c r="F269" s="8" t="str">
        <f>IFERROR(VLOOKUP(A269,'Product Master'!D:N,10,0)*E269,"")</f>
        <v/>
      </c>
      <c r="G269" s="9" t="str">
        <f>IFERROR(VLOOKUP(A269,'Product Master'!D:N,11,0)*E269,"")</f>
        <v/>
      </c>
      <c r="H269" s="8">
        <f>SUMIFS('Product Master'!G:G,'Product Master'!D:D,Inventory!A269)+SUMIFS('Stock In-Out'!I:I,'Stock In-Out'!A:A,Inventory!A269)-SUMIFS('Stock In-Out'!J:J,'Stock In-Out'!A:A,Inventory!A269)</f>
        <v>0</v>
      </c>
      <c r="I269" s="8">
        <f>SUMIFS('Product Master'!H:H,'Product Master'!D:D,Inventory!A269)+SUMIFS('Stock In-Out'!K:K,'Stock In-Out'!A:A,Inventory!A269)-SUMIFS('Stock In-Out'!L:L,'Stock In-Out'!A:A,Inventory!A269)</f>
        <v>0</v>
      </c>
      <c r="J269" s="8">
        <f>SUMIFS('Product Master'!I:I,'Product Master'!D:D,Inventory!A269)+SUMIFS('Stock In-Out'!M:M,'Stock In-Out'!A:A,Inventory!A269)-SUMIFS('Stock In-Out'!N:N,'Stock In-Out'!A:A,Inventory!A269)</f>
        <v>0</v>
      </c>
      <c r="K269" s="8" t="str">
        <f>IFERROR(VLOOKUP(A269,'Product Master'!D:N,7,0),"")</f>
        <v/>
      </c>
      <c r="L269" s="6" t="str">
        <f>IFERROR(VLOOKUP(A269,'Product Master'!D266:F20265,3,0),"")</f>
        <v/>
      </c>
    </row>
    <row r="270" spans="1:12" x14ac:dyDescent="0.2">
      <c r="A270" s="1"/>
      <c r="B270" s="8">
        <f>SUMIFS('Stock In-Out'!D:D,'Stock In-Out'!B:B,"Opening Stock",'Stock In-Out'!A:A,Inventory!A270)</f>
        <v>0</v>
      </c>
      <c r="C270" s="8">
        <f>SUMIFS('Stock In-Out'!D:D,'Stock In-Out'!B:B,"In",'Stock In-Out'!A:A,Inventory!A270)</f>
        <v>0</v>
      </c>
      <c r="D270" s="8">
        <f>SUMIFS('Stock In-Out'!D:D,'Stock In-Out'!B:B,"Out",'Stock In-Out'!A:A,Inventory!A270)</f>
        <v>0</v>
      </c>
      <c r="E270" s="8">
        <f t="shared" si="5"/>
        <v>0</v>
      </c>
      <c r="F270" s="8" t="str">
        <f>IFERROR(VLOOKUP(A270,'Product Master'!D:N,10,0)*E270,"")</f>
        <v/>
      </c>
      <c r="G270" s="9" t="str">
        <f>IFERROR(VLOOKUP(A270,'Product Master'!D:N,11,0)*E270,"")</f>
        <v/>
      </c>
      <c r="H270" s="8">
        <f>SUMIFS('Product Master'!G:G,'Product Master'!D:D,Inventory!A270)+SUMIFS('Stock In-Out'!I:I,'Stock In-Out'!A:A,Inventory!A270)-SUMIFS('Stock In-Out'!J:J,'Stock In-Out'!A:A,Inventory!A270)</f>
        <v>0</v>
      </c>
      <c r="I270" s="8">
        <f>SUMIFS('Product Master'!H:H,'Product Master'!D:D,Inventory!A270)+SUMIFS('Stock In-Out'!K:K,'Stock In-Out'!A:A,Inventory!A270)-SUMIFS('Stock In-Out'!L:L,'Stock In-Out'!A:A,Inventory!A270)</f>
        <v>0</v>
      </c>
      <c r="J270" s="8">
        <f>SUMIFS('Product Master'!I:I,'Product Master'!D:D,Inventory!A270)+SUMIFS('Stock In-Out'!M:M,'Stock In-Out'!A:A,Inventory!A270)-SUMIFS('Stock In-Out'!N:N,'Stock In-Out'!A:A,Inventory!A270)</f>
        <v>0</v>
      </c>
      <c r="K270" s="8" t="str">
        <f>IFERROR(VLOOKUP(A270,'Product Master'!D:N,7,0),"")</f>
        <v/>
      </c>
      <c r="L270" s="6" t="str">
        <f>IFERROR(VLOOKUP(A270,'Product Master'!D267:F20266,3,0),"")</f>
        <v/>
      </c>
    </row>
    <row r="271" spans="1:12" x14ac:dyDescent="0.2">
      <c r="A271" s="1"/>
      <c r="B271" s="8">
        <f>SUMIFS('Stock In-Out'!D:D,'Stock In-Out'!B:B,"Opening Stock",'Stock In-Out'!A:A,Inventory!A271)</f>
        <v>0</v>
      </c>
      <c r="C271" s="8">
        <f>SUMIFS('Stock In-Out'!D:D,'Stock In-Out'!B:B,"In",'Stock In-Out'!A:A,Inventory!A271)</f>
        <v>0</v>
      </c>
      <c r="D271" s="8">
        <f>SUMIFS('Stock In-Out'!D:D,'Stock In-Out'!B:B,"Out",'Stock In-Out'!A:A,Inventory!A271)</f>
        <v>0</v>
      </c>
      <c r="E271" s="8">
        <f t="shared" si="5"/>
        <v>0</v>
      </c>
      <c r="F271" s="8" t="str">
        <f>IFERROR(VLOOKUP(A271,'Product Master'!D:N,10,0)*E271,"")</f>
        <v/>
      </c>
      <c r="G271" s="9" t="str">
        <f>IFERROR(VLOOKUP(A271,'Product Master'!D:N,11,0)*E271,"")</f>
        <v/>
      </c>
      <c r="H271" s="8">
        <f>SUMIFS('Product Master'!G:G,'Product Master'!D:D,Inventory!A271)+SUMIFS('Stock In-Out'!I:I,'Stock In-Out'!A:A,Inventory!A271)-SUMIFS('Stock In-Out'!J:J,'Stock In-Out'!A:A,Inventory!A271)</f>
        <v>0</v>
      </c>
      <c r="I271" s="8">
        <f>SUMIFS('Product Master'!H:H,'Product Master'!D:D,Inventory!A271)+SUMIFS('Stock In-Out'!K:K,'Stock In-Out'!A:A,Inventory!A271)-SUMIFS('Stock In-Out'!L:L,'Stock In-Out'!A:A,Inventory!A271)</f>
        <v>0</v>
      </c>
      <c r="J271" s="8">
        <f>SUMIFS('Product Master'!I:I,'Product Master'!D:D,Inventory!A271)+SUMIFS('Stock In-Out'!M:M,'Stock In-Out'!A:A,Inventory!A271)-SUMIFS('Stock In-Out'!N:N,'Stock In-Out'!A:A,Inventory!A271)</f>
        <v>0</v>
      </c>
      <c r="K271" s="8" t="str">
        <f>IFERROR(VLOOKUP(A271,'Product Master'!D:N,7,0),"")</f>
        <v/>
      </c>
      <c r="L271" s="6" t="str">
        <f>IFERROR(VLOOKUP(A271,'Product Master'!D268:F20267,3,0),"")</f>
        <v/>
      </c>
    </row>
    <row r="272" spans="1:12" x14ac:dyDescent="0.2">
      <c r="A272" s="1"/>
      <c r="B272" s="8">
        <f>SUMIFS('Stock In-Out'!D:D,'Stock In-Out'!B:B,"Opening Stock",'Stock In-Out'!A:A,Inventory!A272)</f>
        <v>0</v>
      </c>
      <c r="C272" s="8">
        <f>SUMIFS('Stock In-Out'!D:D,'Stock In-Out'!B:B,"In",'Stock In-Out'!A:A,Inventory!A272)</f>
        <v>0</v>
      </c>
      <c r="D272" s="8">
        <f>SUMIFS('Stock In-Out'!D:D,'Stock In-Out'!B:B,"Out",'Stock In-Out'!A:A,Inventory!A272)</f>
        <v>0</v>
      </c>
      <c r="E272" s="8">
        <f t="shared" si="5"/>
        <v>0</v>
      </c>
      <c r="F272" s="8" t="str">
        <f>IFERROR(VLOOKUP(A272,'Product Master'!D:N,10,0)*E272,"")</f>
        <v/>
      </c>
      <c r="G272" s="9" t="str">
        <f>IFERROR(VLOOKUP(A272,'Product Master'!D:N,11,0)*E272,"")</f>
        <v/>
      </c>
      <c r="H272" s="8">
        <f>SUMIFS('Product Master'!G:G,'Product Master'!D:D,Inventory!A272)+SUMIFS('Stock In-Out'!I:I,'Stock In-Out'!A:A,Inventory!A272)-SUMIFS('Stock In-Out'!J:J,'Stock In-Out'!A:A,Inventory!A272)</f>
        <v>0</v>
      </c>
      <c r="I272" s="8">
        <f>SUMIFS('Product Master'!H:H,'Product Master'!D:D,Inventory!A272)+SUMIFS('Stock In-Out'!K:K,'Stock In-Out'!A:A,Inventory!A272)-SUMIFS('Stock In-Out'!L:L,'Stock In-Out'!A:A,Inventory!A272)</f>
        <v>0</v>
      </c>
      <c r="J272" s="8">
        <f>SUMIFS('Product Master'!I:I,'Product Master'!D:D,Inventory!A272)+SUMIFS('Stock In-Out'!M:M,'Stock In-Out'!A:A,Inventory!A272)-SUMIFS('Stock In-Out'!N:N,'Stock In-Out'!A:A,Inventory!A272)</f>
        <v>0</v>
      </c>
      <c r="K272" s="8" t="str">
        <f>IFERROR(VLOOKUP(A272,'Product Master'!D:N,7,0),"")</f>
        <v/>
      </c>
      <c r="L272" s="6" t="str">
        <f>IFERROR(VLOOKUP(A272,'Product Master'!D269:F20268,3,0),"")</f>
        <v/>
      </c>
    </row>
    <row r="273" spans="1:12" x14ac:dyDescent="0.2">
      <c r="A273" s="1"/>
      <c r="B273" s="8">
        <f>SUMIFS('Stock In-Out'!D:D,'Stock In-Out'!B:B,"Opening Stock",'Stock In-Out'!A:A,Inventory!A273)</f>
        <v>0</v>
      </c>
      <c r="C273" s="8">
        <f>SUMIFS('Stock In-Out'!D:D,'Stock In-Out'!B:B,"In",'Stock In-Out'!A:A,Inventory!A273)</f>
        <v>0</v>
      </c>
      <c r="D273" s="8">
        <f>SUMIFS('Stock In-Out'!D:D,'Stock In-Out'!B:B,"Out",'Stock In-Out'!A:A,Inventory!A273)</f>
        <v>0</v>
      </c>
      <c r="E273" s="8">
        <f t="shared" si="5"/>
        <v>0</v>
      </c>
      <c r="F273" s="8" t="str">
        <f>IFERROR(VLOOKUP(A273,'Product Master'!D:N,10,0)*E273,"")</f>
        <v/>
      </c>
      <c r="G273" s="9" t="str">
        <f>IFERROR(VLOOKUP(A273,'Product Master'!D:N,11,0)*E273,"")</f>
        <v/>
      </c>
      <c r="H273" s="8">
        <f>SUMIFS('Product Master'!G:G,'Product Master'!D:D,Inventory!A273)+SUMIFS('Stock In-Out'!I:I,'Stock In-Out'!A:A,Inventory!A273)-SUMIFS('Stock In-Out'!J:J,'Stock In-Out'!A:A,Inventory!A273)</f>
        <v>0</v>
      </c>
      <c r="I273" s="8">
        <f>SUMIFS('Product Master'!H:H,'Product Master'!D:D,Inventory!A273)+SUMIFS('Stock In-Out'!K:K,'Stock In-Out'!A:A,Inventory!A273)-SUMIFS('Stock In-Out'!L:L,'Stock In-Out'!A:A,Inventory!A273)</f>
        <v>0</v>
      </c>
      <c r="J273" s="8">
        <f>SUMIFS('Product Master'!I:I,'Product Master'!D:D,Inventory!A273)+SUMIFS('Stock In-Out'!M:M,'Stock In-Out'!A:A,Inventory!A273)-SUMIFS('Stock In-Out'!N:N,'Stock In-Out'!A:A,Inventory!A273)</f>
        <v>0</v>
      </c>
      <c r="K273" s="8" t="str">
        <f>IFERROR(VLOOKUP(A273,'Product Master'!D:N,7,0),"")</f>
        <v/>
      </c>
      <c r="L273" s="6" t="str">
        <f>IFERROR(VLOOKUP(A273,'Product Master'!D270:F20269,3,0),"")</f>
        <v/>
      </c>
    </row>
    <row r="274" spans="1:12" x14ac:dyDescent="0.2">
      <c r="A274" s="1"/>
      <c r="B274" s="8">
        <f>SUMIFS('Stock In-Out'!D:D,'Stock In-Out'!B:B,"Opening Stock",'Stock In-Out'!A:A,Inventory!A274)</f>
        <v>0</v>
      </c>
      <c r="C274" s="8">
        <f>SUMIFS('Stock In-Out'!D:D,'Stock In-Out'!B:B,"In",'Stock In-Out'!A:A,Inventory!A274)</f>
        <v>0</v>
      </c>
      <c r="D274" s="8">
        <f>SUMIFS('Stock In-Out'!D:D,'Stock In-Out'!B:B,"Out",'Stock In-Out'!A:A,Inventory!A274)</f>
        <v>0</v>
      </c>
      <c r="E274" s="8">
        <f t="shared" si="5"/>
        <v>0</v>
      </c>
      <c r="F274" s="8" t="str">
        <f>IFERROR(VLOOKUP(A274,'Product Master'!D:N,10,0)*E274,"")</f>
        <v/>
      </c>
      <c r="G274" s="9" t="str">
        <f>IFERROR(VLOOKUP(A274,'Product Master'!D:N,11,0)*E274,"")</f>
        <v/>
      </c>
      <c r="H274" s="8">
        <f>SUMIFS('Product Master'!G:G,'Product Master'!D:D,Inventory!A274)+SUMIFS('Stock In-Out'!I:I,'Stock In-Out'!A:A,Inventory!A274)-SUMIFS('Stock In-Out'!J:J,'Stock In-Out'!A:A,Inventory!A274)</f>
        <v>0</v>
      </c>
      <c r="I274" s="8">
        <f>SUMIFS('Product Master'!H:H,'Product Master'!D:D,Inventory!A274)+SUMIFS('Stock In-Out'!K:K,'Stock In-Out'!A:A,Inventory!A274)-SUMIFS('Stock In-Out'!L:L,'Stock In-Out'!A:A,Inventory!A274)</f>
        <v>0</v>
      </c>
      <c r="J274" s="8">
        <f>SUMIFS('Product Master'!I:I,'Product Master'!D:D,Inventory!A274)+SUMIFS('Stock In-Out'!M:M,'Stock In-Out'!A:A,Inventory!A274)-SUMIFS('Stock In-Out'!N:N,'Stock In-Out'!A:A,Inventory!A274)</f>
        <v>0</v>
      </c>
      <c r="K274" s="8" t="str">
        <f>IFERROR(VLOOKUP(A274,'Product Master'!D:N,7,0),"")</f>
        <v/>
      </c>
      <c r="L274" s="6" t="str">
        <f>IFERROR(VLOOKUP(A274,'Product Master'!D271:F20270,3,0),"")</f>
        <v/>
      </c>
    </row>
    <row r="275" spans="1:12" x14ac:dyDescent="0.2">
      <c r="A275" s="1"/>
      <c r="B275" s="8">
        <f>SUMIFS('Stock In-Out'!D:D,'Stock In-Out'!B:B,"Opening Stock",'Stock In-Out'!A:A,Inventory!A275)</f>
        <v>0</v>
      </c>
      <c r="C275" s="8">
        <f>SUMIFS('Stock In-Out'!D:D,'Stock In-Out'!B:B,"In",'Stock In-Out'!A:A,Inventory!A275)</f>
        <v>0</v>
      </c>
      <c r="D275" s="8">
        <f>SUMIFS('Stock In-Out'!D:D,'Stock In-Out'!B:B,"Out",'Stock In-Out'!A:A,Inventory!A275)</f>
        <v>0</v>
      </c>
      <c r="E275" s="8">
        <f t="shared" si="5"/>
        <v>0</v>
      </c>
      <c r="F275" s="8" t="str">
        <f>IFERROR(VLOOKUP(A275,'Product Master'!D:N,10,0)*E275,"")</f>
        <v/>
      </c>
      <c r="G275" s="9" t="str">
        <f>IFERROR(VLOOKUP(A275,'Product Master'!D:N,11,0)*E275,"")</f>
        <v/>
      </c>
      <c r="H275" s="8">
        <f>SUMIFS('Product Master'!G:G,'Product Master'!D:D,Inventory!A275)+SUMIFS('Stock In-Out'!I:I,'Stock In-Out'!A:A,Inventory!A275)-SUMIFS('Stock In-Out'!J:J,'Stock In-Out'!A:A,Inventory!A275)</f>
        <v>0</v>
      </c>
      <c r="I275" s="8">
        <f>SUMIFS('Product Master'!H:H,'Product Master'!D:D,Inventory!A275)+SUMIFS('Stock In-Out'!K:K,'Stock In-Out'!A:A,Inventory!A275)-SUMIFS('Stock In-Out'!L:L,'Stock In-Out'!A:A,Inventory!A275)</f>
        <v>0</v>
      </c>
      <c r="J275" s="8">
        <f>SUMIFS('Product Master'!I:I,'Product Master'!D:D,Inventory!A275)+SUMIFS('Stock In-Out'!M:M,'Stock In-Out'!A:A,Inventory!A275)-SUMIFS('Stock In-Out'!N:N,'Stock In-Out'!A:A,Inventory!A275)</f>
        <v>0</v>
      </c>
      <c r="K275" s="8" t="str">
        <f>IFERROR(VLOOKUP(A275,'Product Master'!D:N,7,0),"")</f>
        <v/>
      </c>
      <c r="L275" s="6" t="str">
        <f>IFERROR(VLOOKUP(A275,'Product Master'!D272:F20271,3,0),"")</f>
        <v/>
      </c>
    </row>
    <row r="276" spans="1:12" x14ac:dyDescent="0.2">
      <c r="A276" s="1"/>
      <c r="B276" s="8">
        <f>SUMIFS('Stock In-Out'!D:D,'Stock In-Out'!B:B,"Opening Stock",'Stock In-Out'!A:A,Inventory!A276)</f>
        <v>0</v>
      </c>
      <c r="C276" s="8">
        <f>SUMIFS('Stock In-Out'!D:D,'Stock In-Out'!B:B,"In",'Stock In-Out'!A:A,Inventory!A276)</f>
        <v>0</v>
      </c>
      <c r="D276" s="8">
        <f>SUMIFS('Stock In-Out'!D:D,'Stock In-Out'!B:B,"Out",'Stock In-Out'!A:A,Inventory!A276)</f>
        <v>0</v>
      </c>
      <c r="E276" s="8">
        <f t="shared" si="5"/>
        <v>0</v>
      </c>
      <c r="F276" s="8" t="str">
        <f>IFERROR(VLOOKUP(A276,'Product Master'!D:N,10,0)*E276,"")</f>
        <v/>
      </c>
      <c r="G276" s="9" t="str">
        <f>IFERROR(VLOOKUP(A276,'Product Master'!D:N,11,0)*E276,"")</f>
        <v/>
      </c>
      <c r="H276" s="8">
        <f>SUMIFS('Product Master'!G:G,'Product Master'!D:D,Inventory!A276)+SUMIFS('Stock In-Out'!I:I,'Stock In-Out'!A:A,Inventory!A276)-SUMIFS('Stock In-Out'!J:J,'Stock In-Out'!A:A,Inventory!A276)</f>
        <v>0</v>
      </c>
      <c r="I276" s="8">
        <f>SUMIFS('Product Master'!H:H,'Product Master'!D:D,Inventory!A276)+SUMIFS('Stock In-Out'!K:K,'Stock In-Out'!A:A,Inventory!A276)-SUMIFS('Stock In-Out'!L:L,'Stock In-Out'!A:A,Inventory!A276)</f>
        <v>0</v>
      </c>
      <c r="J276" s="8">
        <f>SUMIFS('Product Master'!I:I,'Product Master'!D:D,Inventory!A276)+SUMIFS('Stock In-Out'!M:M,'Stock In-Out'!A:A,Inventory!A276)-SUMIFS('Stock In-Out'!N:N,'Stock In-Out'!A:A,Inventory!A276)</f>
        <v>0</v>
      </c>
      <c r="K276" s="8" t="str">
        <f>IFERROR(VLOOKUP(A276,'Product Master'!D:N,7,0),"")</f>
        <v/>
      </c>
      <c r="L276" s="6" t="str">
        <f>IFERROR(VLOOKUP(A276,'Product Master'!D273:F20272,3,0),"")</f>
        <v/>
      </c>
    </row>
    <row r="277" spans="1:12" x14ac:dyDescent="0.2">
      <c r="A277" s="1"/>
      <c r="B277" s="8">
        <f>SUMIFS('Stock In-Out'!D:D,'Stock In-Out'!B:B,"Opening Stock",'Stock In-Out'!A:A,Inventory!A277)</f>
        <v>0</v>
      </c>
      <c r="C277" s="8">
        <f>SUMIFS('Stock In-Out'!D:D,'Stock In-Out'!B:B,"In",'Stock In-Out'!A:A,Inventory!A277)</f>
        <v>0</v>
      </c>
      <c r="D277" s="8">
        <f>SUMIFS('Stock In-Out'!D:D,'Stock In-Out'!B:B,"Out",'Stock In-Out'!A:A,Inventory!A277)</f>
        <v>0</v>
      </c>
      <c r="E277" s="8">
        <f t="shared" si="5"/>
        <v>0</v>
      </c>
      <c r="F277" s="8" t="str">
        <f>IFERROR(VLOOKUP(A277,'Product Master'!D:N,10,0)*E277,"")</f>
        <v/>
      </c>
      <c r="G277" s="9" t="str">
        <f>IFERROR(VLOOKUP(A277,'Product Master'!D:N,11,0)*E277,"")</f>
        <v/>
      </c>
      <c r="H277" s="8">
        <f>SUMIFS('Product Master'!G:G,'Product Master'!D:D,Inventory!A277)+SUMIFS('Stock In-Out'!I:I,'Stock In-Out'!A:A,Inventory!A277)-SUMIFS('Stock In-Out'!J:J,'Stock In-Out'!A:A,Inventory!A277)</f>
        <v>0</v>
      </c>
      <c r="I277" s="8">
        <f>SUMIFS('Product Master'!H:H,'Product Master'!D:D,Inventory!A277)+SUMIFS('Stock In-Out'!K:K,'Stock In-Out'!A:A,Inventory!A277)-SUMIFS('Stock In-Out'!L:L,'Stock In-Out'!A:A,Inventory!A277)</f>
        <v>0</v>
      </c>
      <c r="J277" s="8">
        <f>SUMIFS('Product Master'!I:I,'Product Master'!D:D,Inventory!A277)+SUMIFS('Stock In-Out'!M:M,'Stock In-Out'!A:A,Inventory!A277)-SUMIFS('Stock In-Out'!N:N,'Stock In-Out'!A:A,Inventory!A277)</f>
        <v>0</v>
      </c>
      <c r="K277" s="8" t="str">
        <f>IFERROR(VLOOKUP(A277,'Product Master'!D:N,7,0),"")</f>
        <v/>
      </c>
      <c r="L277" s="6" t="str">
        <f>IFERROR(VLOOKUP(A277,'Product Master'!D274:F20273,3,0),"")</f>
        <v/>
      </c>
    </row>
    <row r="278" spans="1:12" x14ac:dyDescent="0.2">
      <c r="A278" s="1"/>
      <c r="B278" s="8">
        <f>SUMIFS('Stock In-Out'!D:D,'Stock In-Out'!B:B,"Opening Stock",'Stock In-Out'!A:A,Inventory!A278)</f>
        <v>0</v>
      </c>
      <c r="C278" s="8">
        <f>SUMIFS('Stock In-Out'!D:D,'Stock In-Out'!B:B,"In",'Stock In-Out'!A:A,Inventory!A278)</f>
        <v>0</v>
      </c>
      <c r="D278" s="8">
        <f>SUMIFS('Stock In-Out'!D:D,'Stock In-Out'!B:B,"Out",'Stock In-Out'!A:A,Inventory!A278)</f>
        <v>0</v>
      </c>
      <c r="E278" s="8">
        <f t="shared" si="5"/>
        <v>0</v>
      </c>
      <c r="F278" s="8" t="str">
        <f>IFERROR(VLOOKUP(A278,'Product Master'!D:N,10,0)*E278,"")</f>
        <v/>
      </c>
      <c r="G278" s="9" t="str">
        <f>IFERROR(VLOOKUP(A278,'Product Master'!D:N,11,0)*E278,"")</f>
        <v/>
      </c>
      <c r="H278" s="8">
        <f>SUMIFS('Product Master'!G:G,'Product Master'!D:D,Inventory!A278)+SUMIFS('Stock In-Out'!I:I,'Stock In-Out'!A:A,Inventory!A278)-SUMIFS('Stock In-Out'!J:J,'Stock In-Out'!A:A,Inventory!A278)</f>
        <v>0</v>
      </c>
      <c r="I278" s="8">
        <f>SUMIFS('Product Master'!H:H,'Product Master'!D:D,Inventory!A278)+SUMIFS('Stock In-Out'!K:K,'Stock In-Out'!A:A,Inventory!A278)-SUMIFS('Stock In-Out'!L:L,'Stock In-Out'!A:A,Inventory!A278)</f>
        <v>0</v>
      </c>
      <c r="J278" s="8">
        <f>SUMIFS('Product Master'!I:I,'Product Master'!D:D,Inventory!A278)+SUMIFS('Stock In-Out'!M:M,'Stock In-Out'!A:A,Inventory!A278)-SUMIFS('Stock In-Out'!N:N,'Stock In-Out'!A:A,Inventory!A278)</f>
        <v>0</v>
      </c>
      <c r="K278" s="8" t="str">
        <f>IFERROR(VLOOKUP(A278,'Product Master'!D:N,7,0),"")</f>
        <v/>
      </c>
      <c r="L278" s="6" t="str">
        <f>IFERROR(VLOOKUP(A278,'Product Master'!D275:F20274,3,0),"")</f>
        <v/>
      </c>
    </row>
    <row r="279" spans="1:12" x14ac:dyDescent="0.2">
      <c r="A279" s="1"/>
      <c r="B279" s="8">
        <f>SUMIFS('Stock In-Out'!D:D,'Stock In-Out'!B:B,"Opening Stock",'Stock In-Out'!A:A,Inventory!A279)</f>
        <v>0</v>
      </c>
      <c r="C279" s="8">
        <f>SUMIFS('Stock In-Out'!D:D,'Stock In-Out'!B:B,"In",'Stock In-Out'!A:A,Inventory!A279)</f>
        <v>0</v>
      </c>
      <c r="D279" s="8">
        <f>SUMIFS('Stock In-Out'!D:D,'Stock In-Out'!B:B,"Out",'Stock In-Out'!A:A,Inventory!A279)</f>
        <v>0</v>
      </c>
      <c r="E279" s="8">
        <f t="shared" si="5"/>
        <v>0</v>
      </c>
      <c r="F279" s="8" t="str">
        <f>IFERROR(VLOOKUP(A279,'Product Master'!D:N,10,0)*E279,"")</f>
        <v/>
      </c>
      <c r="G279" s="9" t="str">
        <f>IFERROR(VLOOKUP(A279,'Product Master'!D:N,11,0)*E279,"")</f>
        <v/>
      </c>
      <c r="H279" s="8">
        <f>SUMIFS('Product Master'!G:G,'Product Master'!D:D,Inventory!A279)+SUMIFS('Stock In-Out'!I:I,'Stock In-Out'!A:A,Inventory!A279)-SUMIFS('Stock In-Out'!J:J,'Stock In-Out'!A:A,Inventory!A279)</f>
        <v>0</v>
      </c>
      <c r="I279" s="8">
        <f>SUMIFS('Product Master'!H:H,'Product Master'!D:D,Inventory!A279)+SUMIFS('Stock In-Out'!K:K,'Stock In-Out'!A:A,Inventory!A279)-SUMIFS('Stock In-Out'!L:L,'Stock In-Out'!A:A,Inventory!A279)</f>
        <v>0</v>
      </c>
      <c r="J279" s="8">
        <f>SUMIFS('Product Master'!I:I,'Product Master'!D:D,Inventory!A279)+SUMIFS('Stock In-Out'!M:M,'Stock In-Out'!A:A,Inventory!A279)-SUMIFS('Stock In-Out'!N:N,'Stock In-Out'!A:A,Inventory!A279)</f>
        <v>0</v>
      </c>
      <c r="K279" s="8" t="str">
        <f>IFERROR(VLOOKUP(A279,'Product Master'!D:N,7,0),"")</f>
        <v/>
      </c>
      <c r="L279" s="6" t="str">
        <f>IFERROR(VLOOKUP(A279,'Product Master'!D276:F20275,3,0),"")</f>
        <v/>
      </c>
    </row>
    <row r="280" spans="1:12" x14ac:dyDescent="0.2">
      <c r="A280" s="1"/>
      <c r="B280" s="8">
        <f>SUMIFS('Stock In-Out'!D:D,'Stock In-Out'!B:B,"Opening Stock",'Stock In-Out'!A:A,Inventory!A280)</f>
        <v>0</v>
      </c>
      <c r="C280" s="8">
        <f>SUMIFS('Stock In-Out'!D:D,'Stock In-Out'!B:B,"In",'Stock In-Out'!A:A,Inventory!A280)</f>
        <v>0</v>
      </c>
      <c r="D280" s="8">
        <f>SUMIFS('Stock In-Out'!D:D,'Stock In-Out'!B:B,"Out",'Stock In-Out'!A:A,Inventory!A280)</f>
        <v>0</v>
      </c>
      <c r="E280" s="8">
        <f t="shared" si="5"/>
        <v>0</v>
      </c>
      <c r="F280" s="8" t="str">
        <f>IFERROR(VLOOKUP(A280,'Product Master'!D:N,10,0)*E280,"")</f>
        <v/>
      </c>
      <c r="G280" s="9" t="str">
        <f>IFERROR(VLOOKUP(A280,'Product Master'!D:N,11,0)*E280,"")</f>
        <v/>
      </c>
      <c r="H280" s="8">
        <f>SUMIFS('Product Master'!G:G,'Product Master'!D:D,Inventory!A280)+SUMIFS('Stock In-Out'!I:I,'Stock In-Out'!A:A,Inventory!A280)-SUMIFS('Stock In-Out'!J:J,'Stock In-Out'!A:A,Inventory!A280)</f>
        <v>0</v>
      </c>
      <c r="I280" s="8">
        <f>SUMIFS('Product Master'!H:H,'Product Master'!D:D,Inventory!A280)+SUMIFS('Stock In-Out'!K:K,'Stock In-Out'!A:A,Inventory!A280)-SUMIFS('Stock In-Out'!L:L,'Stock In-Out'!A:A,Inventory!A280)</f>
        <v>0</v>
      </c>
      <c r="J280" s="8">
        <f>SUMIFS('Product Master'!I:I,'Product Master'!D:D,Inventory!A280)+SUMIFS('Stock In-Out'!M:M,'Stock In-Out'!A:A,Inventory!A280)-SUMIFS('Stock In-Out'!N:N,'Stock In-Out'!A:A,Inventory!A280)</f>
        <v>0</v>
      </c>
      <c r="K280" s="8" t="str">
        <f>IFERROR(VLOOKUP(A280,'Product Master'!D:N,7,0),"")</f>
        <v/>
      </c>
      <c r="L280" s="6" t="str">
        <f>IFERROR(VLOOKUP(A280,'Product Master'!D277:F20276,3,0),"")</f>
        <v/>
      </c>
    </row>
    <row r="281" spans="1:12" x14ac:dyDescent="0.2">
      <c r="A281" s="1"/>
      <c r="B281" s="8">
        <f>SUMIFS('Stock In-Out'!D:D,'Stock In-Out'!B:B,"Opening Stock",'Stock In-Out'!A:A,Inventory!A281)</f>
        <v>0</v>
      </c>
      <c r="C281" s="8">
        <f>SUMIFS('Stock In-Out'!D:D,'Stock In-Out'!B:B,"In",'Stock In-Out'!A:A,Inventory!A281)</f>
        <v>0</v>
      </c>
      <c r="D281" s="8">
        <f>SUMIFS('Stock In-Out'!D:D,'Stock In-Out'!B:B,"Out",'Stock In-Out'!A:A,Inventory!A281)</f>
        <v>0</v>
      </c>
      <c r="E281" s="8">
        <f t="shared" si="5"/>
        <v>0</v>
      </c>
      <c r="F281" s="8" t="str">
        <f>IFERROR(VLOOKUP(A281,'Product Master'!D:N,10,0)*E281,"")</f>
        <v/>
      </c>
      <c r="G281" s="9" t="str">
        <f>IFERROR(VLOOKUP(A281,'Product Master'!D:N,11,0)*E281,"")</f>
        <v/>
      </c>
      <c r="H281" s="8">
        <f>SUMIFS('Product Master'!G:G,'Product Master'!D:D,Inventory!A281)+SUMIFS('Stock In-Out'!I:I,'Stock In-Out'!A:A,Inventory!A281)-SUMIFS('Stock In-Out'!J:J,'Stock In-Out'!A:A,Inventory!A281)</f>
        <v>0</v>
      </c>
      <c r="I281" s="8">
        <f>SUMIFS('Product Master'!H:H,'Product Master'!D:D,Inventory!A281)+SUMIFS('Stock In-Out'!K:K,'Stock In-Out'!A:A,Inventory!A281)-SUMIFS('Stock In-Out'!L:L,'Stock In-Out'!A:A,Inventory!A281)</f>
        <v>0</v>
      </c>
      <c r="J281" s="8">
        <f>SUMIFS('Product Master'!I:I,'Product Master'!D:D,Inventory!A281)+SUMIFS('Stock In-Out'!M:M,'Stock In-Out'!A:A,Inventory!A281)-SUMIFS('Stock In-Out'!N:N,'Stock In-Out'!A:A,Inventory!A281)</f>
        <v>0</v>
      </c>
      <c r="K281" s="8" t="str">
        <f>IFERROR(VLOOKUP(A281,'Product Master'!D:N,7,0),"")</f>
        <v/>
      </c>
      <c r="L281" s="6" t="str">
        <f>IFERROR(VLOOKUP(A281,'Product Master'!D278:F20277,3,0),"")</f>
        <v/>
      </c>
    </row>
    <row r="282" spans="1:12" x14ac:dyDescent="0.2">
      <c r="A282" s="1"/>
      <c r="B282" s="8">
        <f>SUMIFS('Stock In-Out'!D:D,'Stock In-Out'!B:B,"Opening Stock",'Stock In-Out'!A:A,Inventory!A282)</f>
        <v>0</v>
      </c>
      <c r="C282" s="8">
        <f>SUMIFS('Stock In-Out'!D:D,'Stock In-Out'!B:B,"In",'Stock In-Out'!A:A,Inventory!A282)</f>
        <v>0</v>
      </c>
      <c r="D282" s="8">
        <f>SUMIFS('Stock In-Out'!D:D,'Stock In-Out'!B:B,"Out",'Stock In-Out'!A:A,Inventory!A282)</f>
        <v>0</v>
      </c>
      <c r="E282" s="8">
        <f t="shared" si="5"/>
        <v>0</v>
      </c>
      <c r="F282" s="8" t="str">
        <f>IFERROR(VLOOKUP(A282,'Product Master'!D:N,10,0)*E282,"")</f>
        <v/>
      </c>
      <c r="G282" s="9" t="str">
        <f>IFERROR(VLOOKUP(A282,'Product Master'!D:N,11,0)*E282,"")</f>
        <v/>
      </c>
      <c r="H282" s="8">
        <f>SUMIFS('Product Master'!G:G,'Product Master'!D:D,Inventory!A282)+SUMIFS('Stock In-Out'!I:I,'Stock In-Out'!A:A,Inventory!A282)-SUMIFS('Stock In-Out'!J:J,'Stock In-Out'!A:A,Inventory!A282)</f>
        <v>0</v>
      </c>
      <c r="I282" s="8">
        <f>SUMIFS('Product Master'!H:H,'Product Master'!D:D,Inventory!A282)+SUMIFS('Stock In-Out'!K:K,'Stock In-Out'!A:A,Inventory!A282)-SUMIFS('Stock In-Out'!L:L,'Stock In-Out'!A:A,Inventory!A282)</f>
        <v>0</v>
      </c>
      <c r="J282" s="8">
        <f>SUMIFS('Product Master'!I:I,'Product Master'!D:D,Inventory!A282)+SUMIFS('Stock In-Out'!M:M,'Stock In-Out'!A:A,Inventory!A282)-SUMIFS('Stock In-Out'!N:N,'Stock In-Out'!A:A,Inventory!A282)</f>
        <v>0</v>
      </c>
      <c r="K282" s="8" t="str">
        <f>IFERROR(VLOOKUP(A282,'Product Master'!D:N,7,0),"")</f>
        <v/>
      </c>
      <c r="L282" s="6" t="str">
        <f>IFERROR(VLOOKUP(A282,'Product Master'!D279:F20278,3,0),"")</f>
        <v/>
      </c>
    </row>
    <row r="283" spans="1:12" x14ac:dyDescent="0.2">
      <c r="A283" s="1"/>
      <c r="B283" s="8">
        <f>SUMIFS('Stock In-Out'!D:D,'Stock In-Out'!B:B,"Opening Stock",'Stock In-Out'!A:A,Inventory!A283)</f>
        <v>0</v>
      </c>
      <c r="C283" s="8">
        <f>SUMIFS('Stock In-Out'!D:D,'Stock In-Out'!B:B,"In",'Stock In-Out'!A:A,Inventory!A283)</f>
        <v>0</v>
      </c>
      <c r="D283" s="8">
        <f>SUMIFS('Stock In-Out'!D:D,'Stock In-Out'!B:B,"Out",'Stock In-Out'!A:A,Inventory!A283)</f>
        <v>0</v>
      </c>
      <c r="E283" s="8">
        <f t="shared" si="5"/>
        <v>0</v>
      </c>
      <c r="F283" s="8" t="str">
        <f>IFERROR(VLOOKUP(A283,'Product Master'!D:N,10,0)*E283,"")</f>
        <v/>
      </c>
      <c r="G283" s="9" t="str">
        <f>IFERROR(VLOOKUP(A283,'Product Master'!D:N,11,0)*E283,"")</f>
        <v/>
      </c>
      <c r="H283" s="8">
        <f>SUMIFS('Product Master'!G:G,'Product Master'!D:D,Inventory!A283)+SUMIFS('Stock In-Out'!I:I,'Stock In-Out'!A:A,Inventory!A283)-SUMIFS('Stock In-Out'!J:J,'Stock In-Out'!A:A,Inventory!A283)</f>
        <v>0</v>
      </c>
      <c r="I283" s="8">
        <f>SUMIFS('Product Master'!H:H,'Product Master'!D:D,Inventory!A283)+SUMIFS('Stock In-Out'!K:K,'Stock In-Out'!A:A,Inventory!A283)-SUMIFS('Stock In-Out'!L:L,'Stock In-Out'!A:A,Inventory!A283)</f>
        <v>0</v>
      </c>
      <c r="J283" s="8">
        <f>SUMIFS('Product Master'!I:I,'Product Master'!D:D,Inventory!A283)+SUMIFS('Stock In-Out'!M:M,'Stock In-Out'!A:A,Inventory!A283)-SUMIFS('Stock In-Out'!N:N,'Stock In-Out'!A:A,Inventory!A283)</f>
        <v>0</v>
      </c>
      <c r="K283" s="8" t="str">
        <f>IFERROR(VLOOKUP(A283,'Product Master'!D:N,7,0),"")</f>
        <v/>
      </c>
      <c r="L283" s="6" t="str">
        <f>IFERROR(VLOOKUP(A283,'Product Master'!D280:F20279,3,0),"")</f>
        <v/>
      </c>
    </row>
    <row r="284" spans="1:12" x14ac:dyDescent="0.2">
      <c r="A284" s="1"/>
      <c r="B284" s="8">
        <f>SUMIFS('Stock In-Out'!D:D,'Stock In-Out'!B:B,"Opening Stock",'Stock In-Out'!A:A,Inventory!A284)</f>
        <v>0</v>
      </c>
      <c r="C284" s="8">
        <f>SUMIFS('Stock In-Out'!D:D,'Stock In-Out'!B:B,"In",'Stock In-Out'!A:A,Inventory!A284)</f>
        <v>0</v>
      </c>
      <c r="D284" s="8">
        <f>SUMIFS('Stock In-Out'!D:D,'Stock In-Out'!B:B,"Out",'Stock In-Out'!A:A,Inventory!A284)</f>
        <v>0</v>
      </c>
      <c r="E284" s="8">
        <f t="shared" si="5"/>
        <v>0</v>
      </c>
      <c r="F284" s="8" t="str">
        <f>IFERROR(VLOOKUP(A284,'Product Master'!D:N,10,0)*E284,"")</f>
        <v/>
      </c>
      <c r="G284" s="9" t="str">
        <f>IFERROR(VLOOKUP(A284,'Product Master'!D:N,11,0)*E284,"")</f>
        <v/>
      </c>
      <c r="H284" s="8">
        <f>SUMIFS('Product Master'!G:G,'Product Master'!D:D,Inventory!A284)+SUMIFS('Stock In-Out'!I:I,'Stock In-Out'!A:A,Inventory!A284)-SUMIFS('Stock In-Out'!J:J,'Stock In-Out'!A:A,Inventory!A284)</f>
        <v>0</v>
      </c>
      <c r="I284" s="8">
        <f>SUMIFS('Product Master'!H:H,'Product Master'!D:D,Inventory!A284)+SUMIFS('Stock In-Out'!K:K,'Stock In-Out'!A:A,Inventory!A284)-SUMIFS('Stock In-Out'!L:L,'Stock In-Out'!A:A,Inventory!A284)</f>
        <v>0</v>
      </c>
      <c r="J284" s="8">
        <f>SUMIFS('Product Master'!I:I,'Product Master'!D:D,Inventory!A284)+SUMIFS('Stock In-Out'!M:M,'Stock In-Out'!A:A,Inventory!A284)-SUMIFS('Stock In-Out'!N:N,'Stock In-Out'!A:A,Inventory!A284)</f>
        <v>0</v>
      </c>
      <c r="K284" s="8" t="str">
        <f>IFERROR(VLOOKUP(A284,'Product Master'!D:N,7,0),"")</f>
        <v/>
      </c>
      <c r="L284" s="6" t="str">
        <f>IFERROR(VLOOKUP(A284,'Product Master'!D281:F20280,3,0),"")</f>
        <v/>
      </c>
    </row>
    <row r="285" spans="1:12" x14ac:dyDescent="0.2">
      <c r="A285" s="1"/>
      <c r="B285" s="8">
        <f>SUMIFS('Stock In-Out'!D:D,'Stock In-Out'!B:B,"Opening Stock",'Stock In-Out'!A:A,Inventory!A285)</f>
        <v>0</v>
      </c>
      <c r="C285" s="8">
        <f>SUMIFS('Stock In-Out'!D:D,'Stock In-Out'!B:B,"In",'Stock In-Out'!A:A,Inventory!A285)</f>
        <v>0</v>
      </c>
      <c r="D285" s="8">
        <f>SUMIFS('Stock In-Out'!D:D,'Stock In-Out'!B:B,"Out",'Stock In-Out'!A:A,Inventory!A285)</f>
        <v>0</v>
      </c>
      <c r="E285" s="8">
        <f t="shared" si="5"/>
        <v>0</v>
      </c>
      <c r="F285" s="8" t="str">
        <f>IFERROR(VLOOKUP(A285,'Product Master'!D:N,10,0)*E285,"")</f>
        <v/>
      </c>
      <c r="G285" s="9" t="str">
        <f>IFERROR(VLOOKUP(A285,'Product Master'!D:N,11,0)*E285,"")</f>
        <v/>
      </c>
      <c r="H285" s="8">
        <f>SUMIFS('Product Master'!G:G,'Product Master'!D:D,Inventory!A285)+SUMIFS('Stock In-Out'!I:I,'Stock In-Out'!A:A,Inventory!A285)-SUMIFS('Stock In-Out'!J:J,'Stock In-Out'!A:A,Inventory!A285)</f>
        <v>0</v>
      </c>
      <c r="I285" s="8">
        <f>SUMIFS('Product Master'!H:H,'Product Master'!D:D,Inventory!A285)+SUMIFS('Stock In-Out'!K:K,'Stock In-Out'!A:A,Inventory!A285)-SUMIFS('Stock In-Out'!L:L,'Stock In-Out'!A:A,Inventory!A285)</f>
        <v>0</v>
      </c>
      <c r="J285" s="8">
        <f>SUMIFS('Product Master'!I:I,'Product Master'!D:D,Inventory!A285)+SUMIFS('Stock In-Out'!M:M,'Stock In-Out'!A:A,Inventory!A285)-SUMIFS('Stock In-Out'!N:N,'Stock In-Out'!A:A,Inventory!A285)</f>
        <v>0</v>
      </c>
      <c r="K285" s="8" t="str">
        <f>IFERROR(VLOOKUP(A285,'Product Master'!D:N,7,0),"")</f>
        <v/>
      </c>
      <c r="L285" s="6" t="str">
        <f>IFERROR(VLOOKUP(A285,'Product Master'!D282:F20281,3,0),"")</f>
        <v/>
      </c>
    </row>
    <row r="286" spans="1:12" x14ac:dyDescent="0.2">
      <c r="A286" s="1"/>
      <c r="B286" s="8">
        <f>SUMIFS('Stock In-Out'!D:D,'Stock In-Out'!B:B,"Opening Stock",'Stock In-Out'!A:A,Inventory!A286)</f>
        <v>0</v>
      </c>
      <c r="C286" s="8">
        <f>SUMIFS('Stock In-Out'!D:D,'Stock In-Out'!B:B,"In",'Stock In-Out'!A:A,Inventory!A286)</f>
        <v>0</v>
      </c>
      <c r="D286" s="8">
        <f>SUMIFS('Stock In-Out'!D:D,'Stock In-Out'!B:B,"Out",'Stock In-Out'!A:A,Inventory!A286)</f>
        <v>0</v>
      </c>
      <c r="E286" s="8">
        <f t="shared" si="5"/>
        <v>0</v>
      </c>
      <c r="F286" s="8" t="str">
        <f>IFERROR(VLOOKUP(A286,'Product Master'!D:N,10,0)*E286,"")</f>
        <v/>
      </c>
      <c r="G286" s="9" t="str">
        <f>IFERROR(VLOOKUP(A286,'Product Master'!D:N,11,0)*E286,"")</f>
        <v/>
      </c>
      <c r="H286" s="8">
        <f>SUMIFS('Product Master'!G:G,'Product Master'!D:D,Inventory!A286)+SUMIFS('Stock In-Out'!I:I,'Stock In-Out'!A:A,Inventory!A286)-SUMIFS('Stock In-Out'!J:J,'Stock In-Out'!A:A,Inventory!A286)</f>
        <v>0</v>
      </c>
      <c r="I286" s="8">
        <f>SUMIFS('Product Master'!H:H,'Product Master'!D:D,Inventory!A286)+SUMIFS('Stock In-Out'!K:K,'Stock In-Out'!A:A,Inventory!A286)-SUMIFS('Stock In-Out'!L:L,'Stock In-Out'!A:A,Inventory!A286)</f>
        <v>0</v>
      </c>
      <c r="J286" s="8">
        <f>SUMIFS('Product Master'!I:I,'Product Master'!D:D,Inventory!A286)+SUMIFS('Stock In-Out'!M:M,'Stock In-Out'!A:A,Inventory!A286)-SUMIFS('Stock In-Out'!N:N,'Stock In-Out'!A:A,Inventory!A286)</f>
        <v>0</v>
      </c>
      <c r="K286" s="8" t="str">
        <f>IFERROR(VLOOKUP(A286,'Product Master'!D:N,7,0),"")</f>
        <v/>
      </c>
      <c r="L286" s="6" t="str">
        <f>IFERROR(VLOOKUP(A286,'Product Master'!D283:F20282,3,0),"")</f>
        <v/>
      </c>
    </row>
    <row r="287" spans="1:12" x14ac:dyDescent="0.2">
      <c r="A287" s="1"/>
      <c r="B287" s="8">
        <f>SUMIFS('Stock In-Out'!D:D,'Stock In-Out'!B:B,"Opening Stock",'Stock In-Out'!A:A,Inventory!A287)</f>
        <v>0</v>
      </c>
      <c r="C287" s="8">
        <f>SUMIFS('Stock In-Out'!D:D,'Stock In-Out'!B:B,"In",'Stock In-Out'!A:A,Inventory!A287)</f>
        <v>0</v>
      </c>
      <c r="D287" s="8">
        <f>SUMIFS('Stock In-Out'!D:D,'Stock In-Out'!B:B,"Out",'Stock In-Out'!A:A,Inventory!A287)</f>
        <v>0</v>
      </c>
      <c r="E287" s="8">
        <f t="shared" si="5"/>
        <v>0</v>
      </c>
      <c r="F287" s="8" t="str">
        <f>IFERROR(VLOOKUP(A287,'Product Master'!D:N,10,0)*E287,"")</f>
        <v/>
      </c>
      <c r="G287" s="9" t="str">
        <f>IFERROR(VLOOKUP(A287,'Product Master'!D:N,11,0)*E287,"")</f>
        <v/>
      </c>
      <c r="H287" s="8">
        <f>SUMIFS('Product Master'!G:G,'Product Master'!D:D,Inventory!A287)+SUMIFS('Stock In-Out'!I:I,'Stock In-Out'!A:A,Inventory!A287)-SUMIFS('Stock In-Out'!J:J,'Stock In-Out'!A:A,Inventory!A287)</f>
        <v>0</v>
      </c>
      <c r="I287" s="8">
        <f>SUMIFS('Product Master'!H:H,'Product Master'!D:D,Inventory!A287)+SUMIFS('Stock In-Out'!K:K,'Stock In-Out'!A:A,Inventory!A287)-SUMIFS('Stock In-Out'!L:L,'Stock In-Out'!A:A,Inventory!A287)</f>
        <v>0</v>
      </c>
      <c r="J287" s="8">
        <f>SUMIFS('Product Master'!I:I,'Product Master'!D:D,Inventory!A287)+SUMIFS('Stock In-Out'!M:M,'Stock In-Out'!A:A,Inventory!A287)-SUMIFS('Stock In-Out'!N:N,'Stock In-Out'!A:A,Inventory!A287)</f>
        <v>0</v>
      </c>
      <c r="K287" s="8" t="str">
        <f>IFERROR(VLOOKUP(A287,'Product Master'!D:N,7,0),"")</f>
        <v/>
      </c>
      <c r="L287" s="6" t="str">
        <f>IFERROR(VLOOKUP(A287,'Product Master'!D284:F20283,3,0),"")</f>
        <v/>
      </c>
    </row>
    <row r="288" spans="1:12" x14ac:dyDescent="0.2">
      <c r="A288" s="1"/>
      <c r="B288" s="8">
        <f>SUMIFS('Stock In-Out'!D:D,'Stock In-Out'!B:B,"Opening Stock",'Stock In-Out'!A:A,Inventory!A288)</f>
        <v>0</v>
      </c>
      <c r="C288" s="8">
        <f>SUMIFS('Stock In-Out'!D:D,'Stock In-Out'!B:B,"In",'Stock In-Out'!A:A,Inventory!A288)</f>
        <v>0</v>
      </c>
      <c r="D288" s="8">
        <f>SUMIFS('Stock In-Out'!D:D,'Stock In-Out'!B:B,"Out",'Stock In-Out'!A:A,Inventory!A288)</f>
        <v>0</v>
      </c>
      <c r="E288" s="8">
        <f t="shared" si="5"/>
        <v>0</v>
      </c>
      <c r="F288" s="8" t="str">
        <f>IFERROR(VLOOKUP(A288,'Product Master'!D:N,10,0)*E288,"")</f>
        <v/>
      </c>
      <c r="G288" s="9" t="str">
        <f>IFERROR(VLOOKUP(A288,'Product Master'!D:N,11,0)*E288,"")</f>
        <v/>
      </c>
      <c r="H288" s="8">
        <f>SUMIFS('Product Master'!G:G,'Product Master'!D:D,Inventory!A288)+SUMIFS('Stock In-Out'!I:I,'Stock In-Out'!A:A,Inventory!A288)-SUMIFS('Stock In-Out'!J:J,'Stock In-Out'!A:A,Inventory!A288)</f>
        <v>0</v>
      </c>
      <c r="I288" s="8">
        <f>SUMIFS('Product Master'!H:H,'Product Master'!D:D,Inventory!A288)+SUMIFS('Stock In-Out'!K:K,'Stock In-Out'!A:A,Inventory!A288)-SUMIFS('Stock In-Out'!L:L,'Stock In-Out'!A:A,Inventory!A288)</f>
        <v>0</v>
      </c>
      <c r="J288" s="8">
        <f>SUMIFS('Product Master'!I:I,'Product Master'!D:D,Inventory!A288)+SUMIFS('Stock In-Out'!M:M,'Stock In-Out'!A:A,Inventory!A288)-SUMIFS('Stock In-Out'!N:N,'Stock In-Out'!A:A,Inventory!A288)</f>
        <v>0</v>
      </c>
      <c r="K288" s="8" t="str">
        <f>IFERROR(VLOOKUP(A288,'Product Master'!D:N,7,0),"")</f>
        <v/>
      </c>
      <c r="L288" s="6" t="str">
        <f>IFERROR(VLOOKUP(A288,'Product Master'!D285:F20284,3,0),"")</f>
        <v/>
      </c>
    </row>
    <row r="289" spans="1:12" x14ac:dyDescent="0.2">
      <c r="A289" s="1"/>
      <c r="B289" s="8">
        <f>SUMIFS('Stock In-Out'!D:D,'Stock In-Out'!B:B,"Opening Stock",'Stock In-Out'!A:A,Inventory!A289)</f>
        <v>0</v>
      </c>
      <c r="C289" s="8">
        <f>SUMIFS('Stock In-Out'!D:D,'Stock In-Out'!B:B,"In",'Stock In-Out'!A:A,Inventory!A289)</f>
        <v>0</v>
      </c>
      <c r="D289" s="8">
        <f>SUMIFS('Stock In-Out'!D:D,'Stock In-Out'!B:B,"Out",'Stock In-Out'!A:A,Inventory!A289)</f>
        <v>0</v>
      </c>
      <c r="E289" s="8">
        <f t="shared" si="5"/>
        <v>0</v>
      </c>
      <c r="F289" s="8" t="str">
        <f>IFERROR(VLOOKUP(A289,'Product Master'!D:N,10,0)*E289,"")</f>
        <v/>
      </c>
      <c r="G289" s="9" t="str">
        <f>IFERROR(VLOOKUP(A289,'Product Master'!D:N,11,0)*E289,"")</f>
        <v/>
      </c>
      <c r="H289" s="8">
        <f>SUMIFS('Product Master'!G:G,'Product Master'!D:D,Inventory!A289)+SUMIFS('Stock In-Out'!I:I,'Stock In-Out'!A:A,Inventory!A289)-SUMIFS('Stock In-Out'!J:J,'Stock In-Out'!A:A,Inventory!A289)</f>
        <v>0</v>
      </c>
      <c r="I289" s="8">
        <f>SUMIFS('Product Master'!H:H,'Product Master'!D:D,Inventory!A289)+SUMIFS('Stock In-Out'!K:K,'Stock In-Out'!A:A,Inventory!A289)-SUMIFS('Stock In-Out'!L:L,'Stock In-Out'!A:A,Inventory!A289)</f>
        <v>0</v>
      </c>
      <c r="J289" s="8">
        <f>SUMIFS('Product Master'!I:I,'Product Master'!D:D,Inventory!A289)+SUMIFS('Stock In-Out'!M:M,'Stock In-Out'!A:A,Inventory!A289)-SUMIFS('Stock In-Out'!N:N,'Stock In-Out'!A:A,Inventory!A289)</f>
        <v>0</v>
      </c>
      <c r="K289" s="8" t="str">
        <f>IFERROR(VLOOKUP(A289,'Product Master'!D:N,7,0),"")</f>
        <v/>
      </c>
      <c r="L289" s="6" t="str">
        <f>IFERROR(VLOOKUP(A289,'Product Master'!D286:F20285,3,0),"")</f>
        <v/>
      </c>
    </row>
    <row r="290" spans="1:12" x14ac:dyDescent="0.2">
      <c r="A290" s="1"/>
      <c r="B290" s="8">
        <f>SUMIFS('Stock In-Out'!D:D,'Stock In-Out'!B:B,"Opening Stock",'Stock In-Out'!A:A,Inventory!A290)</f>
        <v>0</v>
      </c>
      <c r="C290" s="8">
        <f>SUMIFS('Stock In-Out'!D:D,'Stock In-Out'!B:B,"In",'Stock In-Out'!A:A,Inventory!A290)</f>
        <v>0</v>
      </c>
      <c r="D290" s="8">
        <f>SUMIFS('Stock In-Out'!D:D,'Stock In-Out'!B:B,"Out",'Stock In-Out'!A:A,Inventory!A290)</f>
        <v>0</v>
      </c>
      <c r="E290" s="8">
        <f t="shared" si="5"/>
        <v>0</v>
      </c>
      <c r="F290" s="8" t="str">
        <f>IFERROR(VLOOKUP(A290,'Product Master'!D:N,10,0)*E290,"")</f>
        <v/>
      </c>
      <c r="G290" s="9" t="str">
        <f>IFERROR(VLOOKUP(A290,'Product Master'!D:N,11,0)*E290,"")</f>
        <v/>
      </c>
      <c r="H290" s="8">
        <f>SUMIFS('Product Master'!G:G,'Product Master'!D:D,Inventory!A290)+SUMIFS('Stock In-Out'!I:I,'Stock In-Out'!A:A,Inventory!A290)-SUMIFS('Stock In-Out'!J:J,'Stock In-Out'!A:A,Inventory!A290)</f>
        <v>0</v>
      </c>
      <c r="I290" s="8">
        <f>SUMIFS('Product Master'!H:H,'Product Master'!D:D,Inventory!A290)+SUMIFS('Stock In-Out'!K:K,'Stock In-Out'!A:A,Inventory!A290)-SUMIFS('Stock In-Out'!L:L,'Stock In-Out'!A:A,Inventory!A290)</f>
        <v>0</v>
      </c>
      <c r="J290" s="8">
        <f>SUMIFS('Product Master'!I:I,'Product Master'!D:D,Inventory!A290)+SUMIFS('Stock In-Out'!M:M,'Stock In-Out'!A:A,Inventory!A290)-SUMIFS('Stock In-Out'!N:N,'Stock In-Out'!A:A,Inventory!A290)</f>
        <v>0</v>
      </c>
      <c r="K290" s="8" t="str">
        <f>IFERROR(VLOOKUP(A290,'Product Master'!D:N,7,0),"")</f>
        <v/>
      </c>
      <c r="L290" s="6" t="str">
        <f>IFERROR(VLOOKUP(A290,'Product Master'!D287:F20286,3,0),"")</f>
        <v/>
      </c>
    </row>
    <row r="291" spans="1:12" x14ac:dyDescent="0.2">
      <c r="A291" s="1"/>
      <c r="B291" s="8">
        <f>SUMIFS('Stock In-Out'!D:D,'Stock In-Out'!B:B,"Opening Stock",'Stock In-Out'!A:A,Inventory!A291)</f>
        <v>0</v>
      </c>
      <c r="C291" s="8">
        <f>SUMIFS('Stock In-Out'!D:D,'Stock In-Out'!B:B,"In",'Stock In-Out'!A:A,Inventory!A291)</f>
        <v>0</v>
      </c>
      <c r="D291" s="8">
        <f>SUMIFS('Stock In-Out'!D:D,'Stock In-Out'!B:B,"Out",'Stock In-Out'!A:A,Inventory!A291)</f>
        <v>0</v>
      </c>
      <c r="E291" s="8">
        <f t="shared" si="5"/>
        <v>0</v>
      </c>
      <c r="F291" s="8" t="str">
        <f>IFERROR(VLOOKUP(A291,'Product Master'!D:N,10,0)*E291,"")</f>
        <v/>
      </c>
      <c r="G291" s="9" t="str">
        <f>IFERROR(VLOOKUP(A291,'Product Master'!D:N,11,0)*E291,"")</f>
        <v/>
      </c>
      <c r="H291" s="8">
        <f>SUMIFS('Product Master'!G:G,'Product Master'!D:D,Inventory!A291)+SUMIFS('Stock In-Out'!I:I,'Stock In-Out'!A:A,Inventory!A291)-SUMIFS('Stock In-Out'!J:J,'Stock In-Out'!A:A,Inventory!A291)</f>
        <v>0</v>
      </c>
      <c r="I291" s="8">
        <f>SUMIFS('Product Master'!H:H,'Product Master'!D:D,Inventory!A291)+SUMIFS('Stock In-Out'!K:K,'Stock In-Out'!A:A,Inventory!A291)-SUMIFS('Stock In-Out'!L:L,'Stock In-Out'!A:A,Inventory!A291)</f>
        <v>0</v>
      </c>
      <c r="J291" s="8">
        <f>SUMIFS('Product Master'!I:I,'Product Master'!D:D,Inventory!A291)+SUMIFS('Stock In-Out'!M:M,'Stock In-Out'!A:A,Inventory!A291)-SUMIFS('Stock In-Out'!N:N,'Stock In-Out'!A:A,Inventory!A291)</f>
        <v>0</v>
      </c>
      <c r="K291" s="8" t="str">
        <f>IFERROR(VLOOKUP(A291,'Product Master'!D:N,7,0),"")</f>
        <v/>
      </c>
      <c r="L291" s="6" t="str">
        <f>IFERROR(VLOOKUP(A291,'Product Master'!D288:F20287,3,0),"")</f>
        <v/>
      </c>
    </row>
    <row r="292" spans="1:12" x14ac:dyDescent="0.2">
      <c r="A292" s="1"/>
      <c r="B292" s="8">
        <f>SUMIFS('Stock In-Out'!D:D,'Stock In-Out'!B:B,"Opening Stock",'Stock In-Out'!A:A,Inventory!A292)</f>
        <v>0</v>
      </c>
      <c r="C292" s="8">
        <f>SUMIFS('Stock In-Out'!D:D,'Stock In-Out'!B:B,"In",'Stock In-Out'!A:A,Inventory!A292)</f>
        <v>0</v>
      </c>
      <c r="D292" s="8">
        <f>SUMIFS('Stock In-Out'!D:D,'Stock In-Out'!B:B,"Out",'Stock In-Out'!A:A,Inventory!A292)</f>
        <v>0</v>
      </c>
      <c r="E292" s="8">
        <f t="shared" si="5"/>
        <v>0</v>
      </c>
      <c r="F292" s="8" t="str">
        <f>IFERROR(VLOOKUP(A292,'Product Master'!D:N,10,0)*E292,"")</f>
        <v/>
      </c>
      <c r="G292" s="9" t="str">
        <f>IFERROR(VLOOKUP(A292,'Product Master'!D:N,11,0)*E292,"")</f>
        <v/>
      </c>
      <c r="H292" s="8">
        <f>SUMIFS('Product Master'!G:G,'Product Master'!D:D,Inventory!A292)+SUMIFS('Stock In-Out'!I:I,'Stock In-Out'!A:A,Inventory!A292)-SUMIFS('Stock In-Out'!J:J,'Stock In-Out'!A:A,Inventory!A292)</f>
        <v>0</v>
      </c>
      <c r="I292" s="8">
        <f>SUMIFS('Product Master'!H:H,'Product Master'!D:D,Inventory!A292)+SUMIFS('Stock In-Out'!K:K,'Stock In-Out'!A:A,Inventory!A292)-SUMIFS('Stock In-Out'!L:L,'Stock In-Out'!A:A,Inventory!A292)</f>
        <v>0</v>
      </c>
      <c r="J292" s="8">
        <f>SUMIFS('Product Master'!I:I,'Product Master'!D:D,Inventory!A292)+SUMIFS('Stock In-Out'!M:M,'Stock In-Out'!A:A,Inventory!A292)-SUMIFS('Stock In-Out'!N:N,'Stock In-Out'!A:A,Inventory!A292)</f>
        <v>0</v>
      </c>
      <c r="K292" s="8" t="str">
        <f>IFERROR(VLOOKUP(A292,'Product Master'!D:N,7,0),"")</f>
        <v/>
      </c>
      <c r="L292" s="6" t="str">
        <f>IFERROR(VLOOKUP(A292,'Product Master'!D289:F20288,3,0),"")</f>
        <v/>
      </c>
    </row>
    <row r="293" spans="1:12" x14ac:dyDescent="0.2">
      <c r="A293" s="1"/>
      <c r="B293" s="8">
        <f>SUMIFS('Stock In-Out'!D:D,'Stock In-Out'!B:B,"Opening Stock",'Stock In-Out'!A:A,Inventory!A293)</f>
        <v>0</v>
      </c>
      <c r="C293" s="8">
        <f>SUMIFS('Stock In-Out'!D:D,'Stock In-Out'!B:B,"In",'Stock In-Out'!A:A,Inventory!A293)</f>
        <v>0</v>
      </c>
      <c r="D293" s="8">
        <f>SUMIFS('Stock In-Out'!D:D,'Stock In-Out'!B:B,"Out",'Stock In-Out'!A:A,Inventory!A293)</f>
        <v>0</v>
      </c>
      <c r="E293" s="8">
        <f t="shared" si="5"/>
        <v>0</v>
      </c>
      <c r="F293" s="8" t="str">
        <f>IFERROR(VLOOKUP(A293,'Product Master'!D:N,10,0)*E293,"")</f>
        <v/>
      </c>
      <c r="G293" s="9" t="str">
        <f>IFERROR(VLOOKUP(A293,'Product Master'!D:N,11,0)*E293,"")</f>
        <v/>
      </c>
      <c r="H293" s="8">
        <f>SUMIFS('Product Master'!G:G,'Product Master'!D:D,Inventory!A293)+SUMIFS('Stock In-Out'!I:I,'Stock In-Out'!A:A,Inventory!A293)-SUMIFS('Stock In-Out'!J:J,'Stock In-Out'!A:A,Inventory!A293)</f>
        <v>0</v>
      </c>
      <c r="I293" s="8">
        <f>SUMIFS('Product Master'!H:H,'Product Master'!D:D,Inventory!A293)+SUMIFS('Stock In-Out'!K:K,'Stock In-Out'!A:A,Inventory!A293)-SUMIFS('Stock In-Out'!L:L,'Stock In-Out'!A:A,Inventory!A293)</f>
        <v>0</v>
      </c>
      <c r="J293" s="8">
        <f>SUMIFS('Product Master'!I:I,'Product Master'!D:D,Inventory!A293)+SUMIFS('Stock In-Out'!M:M,'Stock In-Out'!A:A,Inventory!A293)-SUMIFS('Stock In-Out'!N:N,'Stock In-Out'!A:A,Inventory!A293)</f>
        <v>0</v>
      </c>
      <c r="K293" s="8" t="str">
        <f>IFERROR(VLOOKUP(A293,'Product Master'!D:N,7,0),"")</f>
        <v/>
      </c>
      <c r="L293" s="6" t="str">
        <f>IFERROR(VLOOKUP(A293,'Product Master'!D290:F20289,3,0),"")</f>
        <v/>
      </c>
    </row>
    <row r="294" spans="1:12" x14ac:dyDescent="0.2">
      <c r="A294" s="1"/>
      <c r="B294" s="8">
        <f>SUMIFS('Stock In-Out'!D:D,'Stock In-Out'!B:B,"Opening Stock",'Stock In-Out'!A:A,Inventory!A294)</f>
        <v>0</v>
      </c>
      <c r="C294" s="8">
        <f>SUMIFS('Stock In-Out'!D:D,'Stock In-Out'!B:B,"In",'Stock In-Out'!A:A,Inventory!A294)</f>
        <v>0</v>
      </c>
      <c r="D294" s="8">
        <f>SUMIFS('Stock In-Out'!D:D,'Stock In-Out'!B:B,"Out",'Stock In-Out'!A:A,Inventory!A294)</f>
        <v>0</v>
      </c>
      <c r="E294" s="8">
        <f t="shared" si="5"/>
        <v>0</v>
      </c>
      <c r="F294" s="8" t="str">
        <f>IFERROR(VLOOKUP(A294,'Product Master'!D:N,10,0)*E294,"")</f>
        <v/>
      </c>
      <c r="G294" s="9" t="str">
        <f>IFERROR(VLOOKUP(A294,'Product Master'!D:N,11,0)*E294,"")</f>
        <v/>
      </c>
      <c r="H294" s="8">
        <f>SUMIFS('Product Master'!G:G,'Product Master'!D:D,Inventory!A294)+SUMIFS('Stock In-Out'!I:I,'Stock In-Out'!A:A,Inventory!A294)-SUMIFS('Stock In-Out'!J:J,'Stock In-Out'!A:A,Inventory!A294)</f>
        <v>0</v>
      </c>
      <c r="I294" s="8">
        <f>SUMIFS('Product Master'!H:H,'Product Master'!D:D,Inventory!A294)+SUMIFS('Stock In-Out'!K:K,'Stock In-Out'!A:A,Inventory!A294)-SUMIFS('Stock In-Out'!L:L,'Stock In-Out'!A:A,Inventory!A294)</f>
        <v>0</v>
      </c>
      <c r="J294" s="8">
        <f>SUMIFS('Product Master'!I:I,'Product Master'!D:D,Inventory!A294)+SUMIFS('Stock In-Out'!M:M,'Stock In-Out'!A:A,Inventory!A294)-SUMIFS('Stock In-Out'!N:N,'Stock In-Out'!A:A,Inventory!A294)</f>
        <v>0</v>
      </c>
      <c r="K294" s="8" t="str">
        <f>IFERROR(VLOOKUP(A294,'Product Master'!D:N,7,0),"")</f>
        <v/>
      </c>
      <c r="L294" s="6" t="str">
        <f>IFERROR(VLOOKUP(A294,'Product Master'!D291:F20290,3,0),"")</f>
        <v/>
      </c>
    </row>
    <row r="295" spans="1:12" x14ac:dyDescent="0.2">
      <c r="A295" s="1"/>
      <c r="B295" s="8">
        <f>SUMIFS('Stock In-Out'!D:D,'Stock In-Out'!B:B,"Opening Stock",'Stock In-Out'!A:A,Inventory!A295)</f>
        <v>0</v>
      </c>
      <c r="C295" s="8">
        <f>SUMIFS('Stock In-Out'!D:D,'Stock In-Out'!B:B,"In",'Stock In-Out'!A:A,Inventory!A295)</f>
        <v>0</v>
      </c>
      <c r="D295" s="8">
        <f>SUMIFS('Stock In-Out'!D:D,'Stock In-Out'!B:B,"Out",'Stock In-Out'!A:A,Inventory!A295)</f>
        <v>0</v>
      </c>
      <c r="E295" s="8">
        <f t="shared" si="5"/>
        <v>0</v>
      </c>
      <c r="F295" s="8" t="str">
        <f>IFERROR(VLOOKUP(A295,'Product Master'!D:N,10,0)*E295,"")</f>
        <v/>
      </c>
      <c r="G295" s="9" t="str">
        <f>IFERROR(VLOOKUP(A295,'Product Master'!D:N,11,0)*E295,"")</f>
        <v/>
      </c>
      <c r="H295" s="8">
        <f>SUMIFS('Product Master'!G:G,'Product Master'!D:D,Inventory!A295)+SUMIFS('Stock In-Out'!I:I,'Stock In-Out'!A:A,Inventory!A295)-SUMIFS('Stock In-Out'!J:J,'Stock In-Out'!A:A,Inventory!A295)</f>
        <v>0</v>
      </c>
      <c r="I295" s="8">
        <f>SUMIFS('Product Master'!H:H,'Product Master'!D:D,Inventory!A295)+SUMIFS('Stock In-Out'!K:K,'Stock In-Out'!A:A,Inventory!A295)-SUMIFS('Stock In-Out'!L:L,'Stock In-Out'!A:A,Inventory!A295)</f>
        <v>0</v>
      </c>
      <c r="J295" s="8">
        <f>SUMIFS('Product Master'!I:I,'Product Master'!D:D,Inventory!A295)+SUMIFS('Stock In-Out'!M:M,'Stock In-Out'!A:A,Inventory!A295)-SUMIFS('Stock In-Out'!N:N,'Stock In-Out'!A:A,Inventory!A295)</f>
        <v>0</v>
      </c>
      <c r="K295" s="8" t="str">
        <f>IFERROR(VLOOKUP(A295,'Product Master'!D:N,7,0),"")</f>
        <v/>
      </c>
      <c r="L295" s="6" t="str">
        <f>IFERROR(VLOOKUP(A295,'Product Master'!D292:F20291,3,0),"")</f>
        <v/>
      </c>
    </row>
    <row r="296" spans="1:12" x14ac:dyDescent="0.2">
      <c r="A296" s="1"/>
      <c r="B296" s="8">
        <f>SUMIFS('Stock In-Out'!D:D,'Stock In-Out'!B:B,"Opening Stock",'Stock In-Out'!A:A,Inventory!A296)</f>
        <v>0</v>
      </c>
      <c r="C296" s="8">
        <f>SUMIFS('Stock In-Out'!D:D,'Stock In-Out'!B:B,"In",'Stock In-Out'!A:A,Inventory!A296)</f>
        <v>0</v>
      </c>
      <c r="D296" s="8">
        <f>SUMIFS('Stock In-Out'!D:D,'Stock In-Out'!B:B,"Out",'Stock In-Out'!A:A,Inventory!A296)</f>
        <v>0</v>
      </c>
      <c r="E296" s="8">
        <f t="shared" si="5"/>
        <v>0</v>
      </c>
      <c r="F296" s="8" t="str">
        <f>IFERROR(VLOOKUP(A296,'Product Master'!D:N,10,0)*E296,"")</f>
        <v/>
      </c>
      <c r="G296" s="9" t="str">
        <f>IFERROR(VLOOKUP(A296,'Product Master'!D:N,11,0)*E296,"")</f>
        <v/>
      </c>
      <c r="H296" s="8">
        <f>SUMIFS('Product Master'!G:G,'Product Master'!D:D,Inventory!A296)+SUMIFS('Stock In-Out'!I:I,'Stock In-Out'!A:A,Inventory!A296)-SUMIFS('Stock In-Out'!J:J,'Stock In-Out'!A:A,Inventory!A296)</f>
        <v>0</v>
      </c>
      <c r="I296" s="8">
        <f>SUMIFS('Product Master'!H:H,'Product Master'!D:D,Inventory!A296)+SUMIFS('Stock In-Out'!K:K,'Stock In-Out'!A:A,Inventory!A296)-SUMIFS('Stock In-Out'!L:L,'Stock In-Out'!A:A,Inventory!A296)</f>
        <v>0</v>
      </c>
      <c r="J296" s="8">
        <f>SUMIFS('Product Master'!I:I,'Product Master'!D:D,Inventory!A296)+SUMIFS('Stock In-Out'!M:M,'Stock In-Out'!A:A,Inventory!A296)-SUMIFS('Stock In-Out'!N:N,'Stock In-Out'!A:A,Inventory!A296)</f>
        <v>0</v>
      </c>
      <c r="K296" s="8" t="str">
        <f>IFERROR(VLOOKUP(A296,'Product Master'!D:N,7,0),"")</f>
        <v/>
      </c>
      <c r="L296" s="6" t="str">
        <f>IFERROR(VLOOKUP(A296,'Product Master'!D293:F20292,3,0),"")</f>
        <v/>
      </c>
    </row>
    <row r="297" spans="1:12" x14ac:dyDescent="0.2">
      <c r="A297" s="1"/>
      <c r="B297" s="8">
        <f>SUMIFS('Stock In-Out'!D:D,'Stock In-Out'!B:B,"Opening Stock",'Stock In-Out'!A:A,Inventory!A297)</f>
        <v>0</v>
      </c>
      <c r="C297" s="8">
        <f>SUMIFS('Stock In-Out'!D:D,'Stock In-Out'!B:B,"In",'Stock In-Out'!A:A,Inventory!A297)</f>
        <v>0</v>
      </c>
      <c r="D297" s="8">
        <f>SUMIFS('Stock In-Out'!D:D,'Stock In-Out'!B:B,"Out",'Stock In-Out'!A:A,Inventory!A297)</f>
        <v>0</v>
      </c>
      <c r="E297" s="8">
        <f t="shared" si="5"/>
        <v>0</v>
      </c>
      <c r="F297" s="8" t="str">
        <f>IFERROR(VLOOKUP(A297,'Product Master'!D:N,10,0)*E297,"")</f>
        <v/>
      </c>
      <c r="G297" s="9" t="str">
        <f>IFERROR(VLOOKUP(A297,'Product Master'!D:N,11,0)*E297,"")</f>
        <v/>
      </c>
      <c r="H297" s="8">
        <f>SUMIFS('Product Master'!G:G,'Product Master'!D:D,Inventory!A297)+SUMIFS('Stock In-Out'!I:I,'Stock In-Out'!A:A,Inventory!A297)-SUMIFS('Stock In-Out'!J:J,'Stock In-Out'!A:A,Inventory!A297)</f>
        <v>0</v>
      </c>
      <c r="I297" s="8">
        <f>SUMIFS('Product Master'!H:H,'Product Master'!D:D,Inventory!A297)+SUMIFS('Stock In-Out'!K:K,'Stock In-Out'!A:A,Inventory!A297)-SUMIFS('Stock In-Out'!L:L,'Stock In-Out'!A:A,Inventory!A297)</f>
        <v>0</v>
      </c>
      <c r="J297" s="8">
        <f>SUMIFS('Product Master'!I:I,'Product Master'!D:D,Inventory!A297)+SUMIFS('Stock In-Out'!M:M,'Stock In-Out'!A:A,Inventory!A297)-SUMIFS('Stock In-Out'!N:N,'Stock In-Out'!A:A,Inventory!A297)</f>
        <v>0</v>
      </c>
      <c r="K297" s="8" t="str">
        <f>IFERROR(VLOOKUP(A297,'Product Master'!D:N,7,0),"")</f>
        <v/>
      </c>
      <c r="L297" s="6" t="str">
        <f>IFERROR(VLOOKUP(A297,'Product Master'!D294:F20293,3,0),"")</f>
        <v/>
      </c>
    </row>
    <row r="298" spans="1:12" x14ac:dyDescent="0.2">
      <c r="A298" s="1"/>
      <c r="B298" s="8">
        <f>SUMIFS('Stock In-Out'!D:D,'Stock In-Out'!B:B,"Opening Stock",'Stock In-Out'!A:A,Inventory!A298)</f>
        <v>0</v>
      </c>
      <c r="C298" s="8">
        <f>SUMIFS('Stock In-Out'!D:D,'Stock In-Out'!B:B,"In",'Stock In-Out'!A:A,Inventory!A298)</f>
        <v>0</v>
      </c>
      <c r="D298" s="8">
        <f>SUMIFS('Stock In-Out'!D:D,'Stock In-Out'!B:B,"Out",'Stock In-Out'!A:A,Inventory!A298)</f>
        <v>0</v>
      </c>
      <c r="E298" s="8">
        <f t="shared" si="5"/>
        <v>0</v>
      </c>
      <c r="F298" s="8" t="str">
        <f>IFERROR(VLOOKUP(A298,'Product Master'!D:N,10,0)*E298,"")</f>
        <v/>
      </c>
      <c r="G298" s="9" t="str">
        <f>IFERROR(VLOOKUP(A298,'Product Master'!D:N,11,0)*E298,"")</f>
        <v/>
      </c>
      <c r="H298" s="8">
        <f>SUMIFS('Product Master'!G:G,'Product Master'!D:D,Inventory!A298)+SUMIFS('Stock In-Out'!I:I,'Stock In-Out'!A:A,Inventory!A298)-SUMIFS('Stock In-Out'!J:J,'Stock In-Out'!A:A,Inventory!A298)</f>
        <v>0</v>
      </c>
      <c r="I298" s="8">
        <f>SUMIFS('Product Master'!H:H,'Product Master'!D:D,Inventory!A298)+SUMIFS('Stock In-Out'!K:K,'Stock In-Out'!A:A,Inventory!A298)-SUMIFS('Stock In-Out'!L:L,'Stock In-Out'!A:A,Inventory!A298)</f>
        <v>0</v>
      </c>
      <c r="J298" s="8">
        <f>SUMIFS('Product Master'!I:I,'Product Master'!D:D,Inventory!A298)+SUMIFS('Stock In-Out'!M:M,'Stock In-Out'!A:A,Inventory!A298)-SUMIFS('Stock In-Out'!N:N,'Stock In-Out'!A:A,Inventory!A298)</f>
        <v>0</v>
      </c>
      <c r="K298" s="8" t="str">
        <f>IFERROR(VLOOKUP(A298,'Product Master'!D:N,7,0),"")</f>
        <v/>
      </c>
      <c r="L298" s="6" t="str">
        <f>IFERROR(VLOOKUP(A298,'Product Master'!D295:F20294,3,0),"")</f>
        <v/>
      </c>
    </row>
    <row r="299" spans="1:12" x14ac:dyDescent="0.2">
      <c r="A299" s="1"/>
      <c r="B299" s="8">
        <f>SUMIFS('Stock In-Out'!D:D,'Stock In-Out'!B:B,"Opening Stock",'Stock In-Out'!A:A,Inventory!A299)</f>
        <v>0</v>
      </c>
      <c r="C299" s="8">
        <f>SUMIFS('Stock In-Out'!D:D,'Stock In-Out'!B:B,"In",'Stock In-Out'!A:A,Inventory!A299)</f>
        <v>0</v>
      </c>
      <c r="D299" s="8">
        <f>SUMIFS('Stock In-Out'!D:D,'Stock In-Out'!B:B,"Out",'Stock In-Out'!A:A,Inventory!A299)</f>
        <v>0</v>
      </c>
      <c r="E299" s="8">
        <f t="shared" si="5"/>
        <v>0</v>
      </c>
      <c r="F299" s="8" t="str">
        <f>IFERROR(VLOOKUP(A299,'Product Master'!D:N,10,0)*E299,"")</f>
        <v/>
      </c>
      <c r="G299" s="9" t="str">
        <f>IFERROR(VLOOKUP(A299,'Product Master'!D:N,11,0)*E299,"")</f>
        <v/>
      </c>
      <c r="H299" s="8">
        <f>SUMIFS('Product Master'!G:G,'Product Master'!D:D,Inventory!A299)+SUMIFS('Stock In-Out'!I:I,'Stock In-Out'!A:A,Inventory!A299)-SUMIFS('Stock In-Out'!J:J,'Stock In-Out'!A:A,Inventory!A299)</f>
        <v>0</v>
      </c>
      <c r="I299" s="8">
        <f>SUMIFS('Product Master'!H:H,'Product Master'!D:D,Inventory!A299)+SUMIFS('Stock In-Out'!K:K,'Stock In-Out'!A:A,Inventory!A299)-SUMIFS('Stock In-Out'!L:L,'Stock In-Out'!A:A,Inventory!A299)</f>
        <v>0</v>
      </c>
      <c r="J299" s="8">
        <f>SUMIFS('Product Master'!I:I,'Product Master'!D:D,Inventory!A299)+SUMIFS('Stock In-Out'!M:M,'Stock In-Out'!A:A,Inventory!A299)-SUMIFS('Stock In-Out'!N:N,'Stock In-Out'!A:A,Inventory!A299)</f>
        <v>0</v>
      </c>
      <c r="K299" s="8" t="str">
        <f>IFERROR(VLOOKUP(A299,'Product Master'!D:N,7,0),"")</f>
        <v/>
      </c>
      <c r="L299" s="6" t="str">
        <f>IFERROR(VLOOKUP(A299,'Product Master'!D296:F20295,3,0),"")</f>
        <v/>
      </c>
    </row>
    <row r="300" spans="1:12" x14ac:dyDescent="0.2">
      <c r="A300" s="1"/>
      <c r="B300" s="8">
        <f>SUMIFS('Stock In-Out'!D:D,'Stock In-Out'!B:B,"Opening Stock",'Stock In-Out'!A:A,Inventory!A300)</f>
        <v>0</v>
      </c>
      <c r="C300" s="8">
        <f>SUMIFS('Stock In-Out'!D:D,'Stock In-Out'!B:B,"In",'Stock In-Out'!A:A,Inventory!A300)</f>
        <v>0</v>
      </c>
      <c r="D300" s="8">
        <f>SUMIFS('Stock In-Out'!D:D,'Stock In-Out'!B:B,"Out",'Stock In-Out'!A:A,Inventory!A300)</f>
        <v>0</v>
      </c>
      <c r="E300" s="8">
        <f t="shared" si="5"/>
        <v>0</v>
      </c>
      <c r="F300" s="8" t="str">
        <f>IFERROR(VLOOKUP(A300,'Product Master'!D:N,10,0)*E300,"")</f>
        <v/>
      </c>
      <c r="G300" s="9" t="str">
        <f>IFERROR(VLOOKUP(A300,'Product Master'!D:N,11,0)*E300,"")</f>
        <v/>
      </c>
      <c r="H300" s="8">
        <f>SUMIFS('Product Master'!G:G,'Product Master'!D:D,Inventory!A300)+SUMIFS('Stock In-Out'!I:I,'Stock In-Out'!A:A,Inventory!A300)-SUMIFS('Stock In-Out'!J:J,'Stock In-Out'!A:A,Inventory!A300)</f>
        <v>0</v>
      </c>
      <c r="I300" s="8">
        <f>SUMIFS('Product Master'!H:H,'Product Master'!D:D,Inventory!A300)+SUMIFS('Stock In-Out'!K:K,'Stock In-Out'!A:A,Inventory!A300)-SUMIFS('Stock In-Out'!L:L,'Stock In-Out'!A:A,Inventory!A300)</f>
        <v>0</v>
      </c>
      <c r="J300" s="8">
        <f>SUMIFS('Product Master'!I:I,'Product Master'!D:D,Inventory!A300)+SUMIFS('Stock In-Out'!M:M,'Stock In-Out'!A:A,Inventory!A300)-SUMIFS('Stock In-Out'!N:N,'Stock In-Out'!A:A,Inventory!A300)</f>
        <v>0</v>
      </c>
      <c r="K300" s="8" t="str">
        <f>IFERROR(VLOOKUP(A300,'Product Master'!D:N,7,0),"")</f>
        <v/>
      </c>
      <c r="L300" s="6" t="str">
        <f>IFERROR(VLOOKUP(A300,'Product Master'!D297:F20296,3,0),"")</f>
        <v/>
      </c>
    </row>
    <row r="301" spans="1:12" x14ac:dyDescent="0.2">
      <c r="A301" s="1"/>
      <c r="B301" s="8">
        <f>SUMIFS('Stock In-Out'!D:D,'Stock In-Out'!B:B,"Opening Stock",'Stock In-Out'!A:A,Inventory!A301)</f>
        <v>0</v>
      </c>
      <c r="C301" s="8">
        <f>SUMIFS('Stock In-Out'!D:D,'Stock In-Out'!B:B,"In",'Stock In-Out'!A:A,Inventory!A301)</f>
        <v>0</v>
      </c>
      <c r="D301" s="8">
        <f>SUMIFS('Stock In-Out'!D:D,'Stock In-Out'!B:B,"Out",'Stock In-Out'!A:A,Inventory!A301)</f>
        <v>0</v>
      </c>
      <c r="E301" s="8">
        <f t="shared" si="5"/>
        <v>0</v>
      </c>
      <c r="F301" s="8" t="str">
        <f>IFERROR(VLOOKUP(A301,'Product Master'!D:N,10,0)*E301,"")</f>
        <v/>
      </c>
      <c r="G301" s="9" t="str">
        <f>IFERROR(VLOOKUP(A301,'Product Master'!D:N,11,0)*E301,"")</f>
        <v/>
      </c>
      <c r="H301" s="8">
        <f>SUMIFS('Product Master'!G:G,'Product Master'!D:D,Inventory!A301)+SUMIFS('Stock In-Out'!I:I,'Stock In-Out'!A:A,Inventory!A301)-SUMIFS('Stock In-Out'!J:J,'Stock In-Out'!A:A,Inventory!A301)</f>
        <v>0</v>
      </c>
      <c r="I301" s="8">
        <f>SUMIFS('Product Master'!H:H,'Product Master'!D:D,Inventory!A301)+SUMIFS('Stock In-Out'!K:K,'Stock In-Out'!A:A,Inventory!A301)-SUMIFS('Stock In-Out'!L:L,'Stock In-Out'!A:A,Inventory!A301)</f>
        <v>0</v>
      </c>
      <c r="J301" s="8">
        <f>SUMIFS('Product Master'!I:I,'Product Master'!D:D,Inventory!A301)+SUMIFS('Stock In-Out'!M:M,'Stock In-Out'!A:A,Inventory!A301)-SUMIFS('Stock In-Out'!N:N,'Stock In-Out'!A:A,Inventory!A301)</f>
        <v>0</v>
      </c>
      <c r="K301" s="8" t="str">
        <f>IFERROR(VLOOKUP(A301,'Product Master'!D:N,7,0),"")</f>
        <v/>
      </c>
      <c r="L301" s="6" t="str">
        <f>IFERROR(VLOOKUP(A301,'Product Master'!D298:F20297,3,0),"")</f>
        <v/>
      </c>
    </row>
    <row r="302" spans="1:12" x14ac:dyDescent="0.2">
      <c r="A302" s="1"/>
      <c r="B302" s="8">
        <f>SUMIFS('Stock In-Out'!D:D,'Stock In-Out'!B:B,"Opening Stock",'Stock In-Out'!A:A,Inventory!A302)</f>
        <v>0</v>
      </c>
      <c r="C302" s="8">
        <f>SUMIFS('Stock In-Out'!D:D,'Stock In-Out'!B:B,"In",'Stock In-Out'!A:A,Inventory!A302)</f>
        <v>0</v>
      </c>
      <c r="D302" s="8">
        <f>SUMIFS('Stock In-Out'!D:D,'Stock In-Out'!B:B,"Out",'Stock In-Out'!A:A,Inventory!A302)</f>
        <v>0</v>
      </c>
      <c r="E302" s="8">
        <f t="shared" si="5"/>
        <v>0</v>
      </c>
      <c r="F302" s="8" t="str">
        <f>IFERROR(VLOOKUP(A302,'Product Master'!D:N,10,0)*E302,"")</f>
        <v/>
      </c>
      <c r="G302" s="9" t="str">
        <f>IFERROR(VLOOKUP(A302,'Product Master'!D:N,11,0)*E302,"")</f>
        <v/>
      </c>
      <c r="H302" s="8">
        <f>SUMIFS('Product Master'!G:G,'Product Master'!D:D,Inventory!A302)+SUMIFS('Stock In-Out'!I:I,'Stock In-Out'!A:A,Inventory!A302)-SUMIFS('Stock In-Out'!J:J,'Stock In-Out'!A:A,Inventory!A302)</f>
        <v>0</v>
      </c>
      <c r="I302" s="8">
        <f>SUMIFS('Product Master'!H:H,'Product Master'!D:D,Inventory!A302)+SUMIFS('Stock In-Out'!K:K,'Stock In-Out'!A:A,Inventory!A302)-SUMIFS('Stock In-Out'!L:L,'Stock In-Out'!A:A,Inventory!A302)</f>
        <v>0</v>
      </c>
      <c r="J302" s="8">
        <f>SUMIFS('Product Master'!I:I,'Product Master'!D:D,Inventory!A302)+SUMIFS('Stock In-Out'!M:M,'Stock In-Out'!A:A,Inventory!A302)-SUMIFS('Stock In-Out'!N:N,'Stock In-Out'!A:A,Inventory!A302)</f>
        <v>0</v>
      </c>
      <c r="K302" s="8" t="str">
        <f>IFERROR(VLOOKUP(A302,'Product Master'!D:N,7,0),"")</f>
        <v/>
      </c>
      <c r="L302" s="6" t="str">
        <f>IFERROR(VLOOKUP(A302,'Product Master'!D299:F20298,3,0),"")</f>
        <v/>
      </c>
    </row>
    <row r="303" spans="1:12" x14ac:dyDescent="0.2">
      <c r="A303" s="1"/>
      <c r="B303" s="8">
        <f>SUMIFS('Stock In-Out'!D:D,'Stock In-Out'!B:B,"Opening Stock",'Stock In-Out'!A:A,Inventory!A303)</f>
        <v>0</v>
      </c>
      <c r="C303" s="8">
        <f>SUMIFS('Stock In-Out'!D:D,'Stock In-Out'!B:B,"In",'Stock In-Out'!A:A,Inventory!A303)</f>
        <v>0</v>
      </c>
      <c r="D303" s="8">
        <f>SUMIFS('Stock In-Out'!D:D,'Stock In-Out'!B:B,"Out",'Stock In-Out'!A:A,Inventory!A303)</f>
        <v>0</v>
      </c>
      <c r="E303" s="8">
        <f t="shared" ref="E303:E366" si="6">B303+C303-D303</f>
        <v>0</v>
      </c>
      <c r="F303" s="8" t="str">
        <f>IFERROR(VLOOKUP(A303,'Product Master'!D:N,10,0)*E303,"")</f>
        <v/>
      </c>
      <c r="G303" s="9" t="str">
        <f>IFERROR(VLOOKUP(A303,'Product Master'!D:N,11,0)*E303,"")</f>
        <v/>
      </c>
      <c r="H303" s="8">
        <f>SUMIFS('Product Master'!G:G,'Product Master'!D:D,Inventory!A303)+SUMIFS('Stock In-Out'!I:I,'Stock In-Out'!A:A,Inventory!A303)-SUMIFS('Stock In-Out'!J:J,'Stock In-Out'!A:A,Inventory!A303)</f>
        <v>0</v>
      </c>
      <c r="I303" s="8">
        <f>SUMIFS('Product Master'!H:H,'Product Master'!D:D,Inventory!A303)+SUMIFS('Stock In-Out'!K:K,'Stock In-Out'!A:A,Inventory!A303)-SUMIFS('Stock In-Out'!L:L,'Stock In-Out'!A:A,Inventory!A303)</f>
        <v>0</v>
      </c>
      <c r="J303" s="8">
        <f>SUMIFS('Product Master'!I:I,'Product Master'!D:D,Inventory!A303)+SUMIFS('Stock In-Out'!M:M,'Stock In-Out'!A:A,Inventory!A303)-SUMIFS('Stock In-Out'!N:N,'Stock In-Out'!A:A,Inventory!A303)</f>
        <v>0</v>
      </c>
      <c r="K303" s="8" t="str">
        <f>IFERROR(VLOOKUP(A303,'Product Master'!D:N,7,0),"")</f>
        <v/>
      </c>
      <c r="L303" s="6" t="str">
        <f>IFERROR(VLOOKUP(A303,'Product Master'!D300:F20299,3,0),"")</f>
        <v/>
      </c>
    </row>
    <row r="304" spans="1:12" x14ac:dyDescent="0.2">
      <c r="A304" s="1"/>
      <c r="B304" s="8">
        <f>SUMIFS('Stock In-Out'!D:D,'Stock In-Out'!B:B,"Opening Stock",'Stock In-Out'!A:A,Inventory!A304)</f>
        <v>0</v>
      </c>
      <c r="C304" s="8">
        <f>SUMIFS('Stock In-Out'!D:D,'Stock In-Out'!B:B,"In",'Stock In-Out'!A:A,Inventory!A304)</f>
        <v>0</v>
      </c>
      <c r="D304" s="8">
        <f>SUMIFS('Stock In-Out'!D:D,'Stock In-Out'!B:B,"Out",'Stock In-Out'!A:A,Inventory!A304)</f>
        <v>0</v>
      </c>
      <c r="E304" s="8">
        <f t="shared" si="6"/>
        <v>0</v>
      </c>
      <c r="F304" s="8" t="str">
        <f>IFERROR(VLOOKUP(A304,'Product Master'!D:N,10,0)*E304,"")</f>
        <v/>
      </c>
      <c r="G304" s="9" t="str">
        <f>IFERROR(VLOOKUP(A304,'Product Master'!D:N,11,0)*E304,"")</f>
        <v/>
      </c>
      <c r="H304" s="8">
        <f>SUMIFS('Product Master'!G:G,'Product Master'!D:D,Inventory!A304)+SUMIFS('Stock In-Out'!I:I,'Stock In-Out'!A:A,Inventory!A304)-SUMIFS('Stock In-Out'!J:J,'Stock In-Out'!A:A,Inventory!A304)</f>
        <v>0</v>
      </c>
      <c r="I304" s="8">
        <f>SUMIFS('Product Master'!H:H,'Product Master'!D:D,Inventory!A304)+SUMIFS('Stock In-Out'!K:K,'Stock In-Out'!A:A,Inventory!A304)-SUMIFS('Stock In-Out'!L:L,'Stock In-Out'!A:A,Inventory!A304)</f>
        <v>0</v>
      </c>
      <c r="J304" s="8">
        <f>SUMIFS('Product Master'!I:I,'Product Master'!D:D,Inventory!A304)+SUMIFS('Stock In-Out'!M:M,'Stock In-Out'!A:A,Inventory!A304)-SUMIFS('Stock In-Out'!N:N,'Stock In-Out'!A:A,Inventory!A304)</f>
        <v>0</v>
      </c>
      <c r="K304" s="8" t="str">
        <f>IFERROR(VLOOKUP(A304,'Product Master'!D:N,7,0),"")</f>
        <v/>
      </c>
      <c r="L304" s="6" t="str">
        <f>IFERROR(VLOOKUP(A304,'Product Master'!D301:F20300,3,0),"")</f>
        <v/>
      </c>
    </row>
    <row r="305" spans="1:12" x14ac:dyDescent="0.2">
      <c r="A305" s="1"/>
      <c r="B305" s="8">
        <f>SUMIFS('Stock In-Out'!D:D,'Stock In-Out'!B:B,"Opening Stock",'Stock In-Out'!A:A,Inventory!A305)</f>
        <v>0</v>
      </c>
      <c r="C305" s="8">
        <f>SUMIFS('Stock In-Out'!D:D,'Stock In-Out'!B:B,"In",'Stock In-Out'!A:A,Inventory!A305)</f>
        <v>0</v>
      </c>
      <c r="D305" s="8">
        <f>SUMIFS('Stock In-Out'!D:D,'Stock In-Out'!B:B,"Out",'Stock In-Out'!A:A,Inventory!A305)</f>
        <v>0</v>
      </c>
      <c r="E305" s="8">
        <f t="shared" si="6"/>
        <v>0</v>
      </c>
      <c r="F305" s="8" t="str">
        <f>IFERROR(VLOOKUP(A305,'Product Master'!D:N,10,0)*E305,"")</f>
        <v/>
      </c>
      <c r="G305" s="9" t="str">
        <f>IFERROR(VLOOKUP(A305,'Product Master'!D:N,11,0)*E305,"")</f>
        <v/>
      </c>
      <c r="H305" s="8">
        <f>SUMIFS('Product Master'!G:G,'Product Master'!D:D,Inventory!A305)+SUMIFS('Stock In-Out'!I:I,'Stock In-Out'!A:A,Inventory!A305)-SUMIFS('Stock In-Out'!J:J,'Stock In-Out'!A:A,Inventory!A305)</f>
        <v>0</v>
      </c>
      <c r="I305" s="8">
        <f>SUMIFS('Product Master'!H:H,'Product Master'!D:D,Inventory!A305)+SUMIFS('Stock In-Out'!K:K,'Stock In-Out'!A:A,Inventory!A305)-SUMIFS('Stock In-Out'!L:L,'Stock In-Out'!A:A,Inventory!A305)</f>
        <v>0</v>
      </c>
      <c r="J305" s="8">
        <f>SUMIFS('Product Master'!I:I,'Product Master'!D:D,Inventory!A305)+SUMIFS('Stock In-Out'!M:M,'Stock In-Out'!A:A,Inventory!A305)-SUMIFS('Stock In-Out'!N:N,'Stock In-Out'!A:A,Inventory!A305)</f>
        <v>0</v>
      </c>
      <c r="K305" s="8" t="str">
        <f>IFERROR(VLOOKUP(A305,'Product Master'!D:N,7,0),"")</f>
        <v/>
      </c>
      <c r="L305" s="6" t="str">
        <f>IFERROR(VLOOKUP(A305,'Product Master'!D302:F20301,3,0),"")</f>
        <v/>
      </c>
    </row>
    <row r="306" spans="1:12" x14ac:dyDescent="0.2">
      <c r="A306" s="1"/>
      <c r="B306" s="8">
        <f>SUMIFS('Stock In-Out'!D:D,'Stock In-Out'!B:B,"Opening Stock",'Stock In-Out'!A:A,Inventory!A306)</f>
        <v>0</v>
      </c>
      <c r="C306" s="8">
        <f>SUMIFS('Stock In-Out'!D:D,'Stock In-Out'!B:B,"In",'Stock In-Out'!A:A,Inventory!A306)</f>
        <v>0</v>
      </c>
      <c r="D306" s="8">
        <f>SUMIFS('Stock In-Out'!D:D,'Stock In-Out'!B:B,"Out",'Stock In-Out'!A:A,Inventory!A306)</f>
        <v>0</v>
      </c>
      <c r="E306" s="8">
        <f t="shared" si="6"/>
        <v>0</v>
      </c>
      <c r="F306" s="8" t="str">
        <f>IFERROR(VLOOKUP(A306,'Product Master'!D:N,10,0)*E306,"")</f>
        <v/>
      </c>
      <c r="G306" s="9" t="str">
        <f>IFERROR(VLOOKUP(A306,'Product Master'!D:N,11,0)*E306,"")</f>
        <v/>
      </c>
      <c r="H306" s="8">
        <f>SUMIFS('Product Master'!G:G,'Product Master'!D:D,Inventory!A306)+SUMIFS('Stock In-Out'!I:I,'Stock In-Out'!A:A,Inventory!A306)-SUMIFS('Stock In-Out'!J:J,'Stock In-Out'!A:A,Inventory!A306)</f>
        <v>0</v>
      </c>
      <c r="I306" s="8">
        <f>SUMIFS('Product Master'!H:H,'Product Master'!D:D,Inventory!A306)+SUMIFS('Stock In-Out'!K:K,'Stock In-Out'!A:A,Inventory!A306)-SUMIFS('Stock In-Out'!L:L,'Stock In-Out'!A:A,Inventory!A306)</f>
        <v>0</v>
      </c>
      <c r="J306" s="8">
        <f>SUMIFS('Product Master'!I:I,'Product Master'!D:D,Inventory!A306)+SUMIFS('Stock In-Out'!M:M,'Stock In-Out'!A:A,Inventory!A306)-SUMIFS('Stock In-Out'!N:N,'Stock In-Out'!A:A,Inventory!A306)</f>
        <v>0</v>
      </c>
      <c r="K306" s="8" t="str">
        <f>IFERROR(VLOOKUP(A306,'Product Master'!D:N,7,0),"")</f>
        <v/>
      </c>
      <c r="L306" s="6" t="str">
        <f>IFERROR(VLOOKUP(A306,'Product Master'!D303:F20302,3,0),"")</f>
        <v/>
      </c>
    </row>
    <row r="307" spans="1:12" x14ac:dyDescent="0.2">
      <c r="A307" s="1"/>
      <c r="B307" s="8">
        <f>SUMIFS('Stock In-Out'!D:D,'Stock In-Out'!B:B,"Opening Stock",'Stock In-Out'!A:A,Inventory!A307)</f>
        <v>0</v>
      </c>
      <c r="C307" s="8">
        <f>SUMIFS('Stock In-Out'!D:D,'Stock In-Out'!B:B,"In",'Stock In-Out'!A:A,Inventory!A307)</f>
        <v>0</v>
      </c>
      <c r="D307" s="8">
        <f>SUMIFS('Stock In-Out'!D:D,'Stock In-Out'!B:B,"Out",'Stock In-Out'!A:A,Inventory!A307)</f>
        <v>0</v>
      </c>
      <c r="E307" s="8">
        <f t="shared" si="6"/>
        <v>0</v>
      </c>
      <c r="F307" s="8" t="str">
        <f>IFERROR(VLOOKUP(A307,'Product Master'!D:N,10,0)*E307,"")</f>
        <v/>
      </c>
      <c r="G307" s="9" t="str">
        <f>IFERROR(VLOOKUP(A307,'Product Master'!D:N,11,0)*E307,"")</f>
        <v/>
      </c>
      <c r="H307" s="8">
        <f>SUMIFS('Product Master'!G:G,'Product Master'!D:D,Inventory!A307)+SUMIFS('Stock In-Out'!I:I,'Stock In-Out'!A:A,Inventory!A307)-SUMIFS('Stock In-Out'!J:J,'Stock In-Out'!A:A,Inventory!A307)</f>
        <v>0</v>
      </c>
      <c r="I307" s="8">
        <f>SUMIFS('Product Master'!H:H,'Product Master'!D:D,Inventory!A307)+SUMIFS('Stock In-Out'!K:K,'Stock In-Out'!A:A,Inventory!A307)-SUMIFS('Stock In-Out'!L:L,'Stock In-Out'!A:A,Inventory!A307)</f>
        <v>0</v>
      </c>
      <c r="J307" s="8">
        <f>SUMIFS('Product Master'!I:I,'Product Master'!D:D,Inventory!A307)+SUMIFS('Stock In-Out'!M:M,'Stock In-Out'!A:A,Inventory!A307)-SUMIFS('Stock In-Out'!N:N,'Stock In-Out'!A:A,Inventory!A307)</f>
        <v>0</v>
      </c>
      <c r="K307" s="8" t="str">
        <f>IFERROR(VLOOKUP(A307,'Product Master'!D:N,7,0),"")</f>
        <v/>
      </c>
      <c r="L307" s="6" t="str">
        <f>IFERROR(VLOOKUP(A307,'Product Master'!D304:F20303,3,0),"")</f>
        <v/>
      </c>
    </row>
    <row r="308" spans="1:12" x14ac:dyDescent="0.2">
      <c r="A308" s="1"/>
      <c r="B308" s="8">
        <f>SUMIFS('Stock In-Out'!D:D,'Stock In-Out'!B:B,"Opening Stock",'Stock In-Out'!A:A,Inventory!A308)</f>
        <v>0</v>
      </c>
      <c r="C308" s="8">
        <f>SUMIFS('Stock In-Out'!D:D,'Stock In-Out'!B:B,"In",'Stock In-Out'!A:A,Inventory!A308)</f>
        <v>0</v>
      </c>
      <c r="D308" s="8">
        <f>SUMIFS('Stock In-Out'!D:D,'Stock In-Out'!B:B,"Out",'Stock In-Out'!A:A,Inventory!A308)</f>
        <v>0</v>
      </c>
      <c r="E308" s="8">
        <f t="shared" si="6"/>
        <v>0</v>
      </c>
      <c r="F308" s="8" t="str">
        <f>IFERROR(VLOOKUP(A308,'Product Master'!D:N,10,0)*E308,"")</f>
        <v/>
      </c>
      <c r="G308" s="9" t="str">
        <f>IFERROR(VLOOKUP(A308,'Product Master'!D:N,11,0)*E308,"")</f>
        <v/>
      </c>
      <c r="H308" s="8">
        <f>SUMIFS('Product Master'!G:G,'Product Master'!D:D,Inventory!A308)+SUMIFS('Stock In-Out'!I:I,'Stock In-Out'!A:A,Inventory!A308)-SUMIFS('Stock In-Out'!J:J,'Stock In-Out'!A:A,Inventory!A308)</f>
        <v>0</v>
      </c>
      <c r="I308" s="8">
        <f>SUMIFS('Product Master'!H:H,'Product Master'!D:D,Inventory!A308)+SUMIFS('Stock In-Out'!K:K,'Stock In-Out'!A:A,Inventory!A308)-SUMIFS('Stock In-Out'!L:L,'Stock In-Out'!A:A,Inventory!A308)</f>
        <v>0</v>
      </c>
      <c r="J308" s="8">
        <f>SUMIFS('Product Master'!I:I,'Product Master'!D:D,Inventory!A308)+SUMIFS('Stock In-Out'!M:M,'Stock In-Out'!A:A,Inventory!A308)-SUMIFS('Stock In-Out'!N:N,'Stock In-Out'!A:A,Inventory!A308)</f>
        <v>0</v>
      </c>
      <c r="K308" s="8" t="str">
        <f>IFERROR(VLOOKUP(A308,'Product Master'!D:N,7,0),"")</f>
        <v/>
      </c>
      <c r="L308" s="6" t="str">
        <f>IFERROR(VLOOKUP(A308,'Product Master'!D305:F20304,3,0),"")</f>
        <v/>
      </c>
    </row>
    <row r="309" spans="1:12" x14ac:dyDescent="0.2">
      <c r="A309" s="1"/>
      <c r="B309" s="8">
        <f>SUMIFS('Stock In-Out'!D:D,'Stock In-Out'!B:B,"Opening Stock",'Stock In-Out'!A:A,Inventory!A309)</f>
        <v>0</v>
      </c>
      <c r="C309" s="8">
        <f>SUMIFS('Stock In-Out'!D:D,'Stock In-Out'!B:B,"In",'Stock In-Out'!A:A,Inventory!A309)</f>
        <v>0</v>
      </c>
      <c r="D309" s="8">
        <f>SUMIFS('Stock In-Out'!D:D,'Stock In-Out'!B:B,"Out",'Stock In-Out'!A:A,Inventory!A309)</f>
        <v>0</v>
      </c>
      <c r="E309" s="8">
        <f t="shared" si="6"/>
        <v>0</v>
      </c>
      <c r="F309" s="8" t="str">
        <f>IFERROR(VLOOKUP(A309,'Product Master'!D:N,10,0)*E309,"")</f>
        <v/>
      </c>
      <c r="G309" s="9" t="str">
        <f>IFERROR(VLOOKUP(A309,'Product Master'!D:N,11,0)*E309,"")</f>
        <v/>
      </c>
      <c r="H309" s="8">
        <f>SUMIFS('Product Master'!G:G,'Product Master'!D:D,Inventory!A309)+SUMIFS('Stock In-Out'!I:I,'Stock In-Out'!A:A,Inventory!A309)-SUMIFS('Stock In-Out'!J:J,'Stock In-Out'!A:A,Inventory!A309)</f>
        <v>0</v>
      </c>
      <c r="I309" s="8">
        <f>SUMIFS('Product Master'!H:H,'Product Master'!D:D,Inventory!A309)+SUMIFS('Stock In-Out'!K:K,'Stock In-Out'!A:A,Inventory!A309)-SUMIFS('Stock In-Out'!L:L,'Stock In-Out'!A:A,Inventory!A309)</f>
        <v>0</v>
      </c>
      <c r="J309" s="8">
        <f>SUMIFS('Product Master'!I:I,'Product Master'!D:D,Inventory!A309)+SUMIFS('Stock In-Out'!M:M,'Stock In-Out'!A:A,Inventory!A309)-SUMIFS('Stock In-Out'!N:N,'Stock In-Out'!A:A,Inventory!A309)</f>
        <v>0</v>
      </c>
      <c r="K309" s="8" t="str">
        <f>IFERROR(VLOOKUP(A309,'Product Master'!D:N,7,0),"")</f>
        <v/>
      </c>
      <c r="L309" s="6" t="str">
        <f>IFERROR(VLOOKUP(A309,'Product Master'!D306:F20305,3,0),"")</f>
        <v/>
      </c>
    </row>
    <row r="310" spans="1:12" x14ac:dyDescent="0.2">
      <c r="A310" s="1"/>
      <c r="B310" s="8">
        <f>SUMIFS('Stock In-Out'!D:D,'Stock In-Out'!B:B,"Opening Stock",'Stock In-Out'!A:A,Inventory!A310)</f>
        <v>0</v>
      </c>
      <c r="C310" s="8">
        <f>SUMIFS('Stock In-Out'!D:D,'Stock In-Out'!B:B,"In",'Stock In-Out'!A:A,Inventory!A310)</f>
        <v>0</v>
      </c>
      <c r="D310" s="8">
        <f>SUMIFS('Stock In-Out'!D:D,'Stock In-Out'!B:B,"Out",'Stock In-Out'!A:A,Inventory!A310)</f>
        <v>0</v>
      </c>
      <c r="E310" s="8">
        <f t="shared" si="6"/>
        <v>0</v>
      </c>
      <c r="F310" s="8" t="str">
        <f>IFERROR(VLOOKUP(A310,'Product Master'!D:N,10,0)*E310,"")</f>
        <v/>
      </c>
      <c r="G310" s="9" t="str">
        <f>IFERROR(VLOOKUP(A310,'Product Master'!D:N,11,0)*E310,"")</f>
        <v/>
      </c>
      <c r="H310" s="8">
        <f>SUMIFS('Product Master'!G:G,'Product Master'!D:D,Inventory!A310)+SUMIFS('Stock In-Out'!I:I,'Stock In-Out'!A:A,Inventory!A310)-SUMIFS('Stock In-Out'!J:J,'Stock In-Out'!A:A,Inventory!A310)</f>
        <v>0</v>
      </c>
      <c r="I310" s="8">
        <f>SUMIFS('Product Master'!H:H,'Product Master'!D:D,Inventory!A310)+SUMIFS('Stock In-Out'!K:K,'Stock In-Out'!A:A,Inventory!A310)-SUMIFS('Stock In-Out'!L:L,'Stock In-Out'!A:A,Inventory!A310)</f>
        <v>0</v>
      </c>
      <c r="J310" s="8">
        <f>SUMIFS('Product Master'!I:I,'Product Master'!D:D,Inventory!A310)+SUMIFS('Stock In-Out'!M:M,'Stock In-Out'!A:A,Inventory!A310)-SUMIFS('Stock In-Out'!N:N,'Stock In-Out'!A:A,Inventory!A310)</f>
        <v>0</v>
      </c>
      <c r="K310" s="8" t="str">
        <f>IFERROR(VLOOKUP(A310,'Product Master'!D:N,7,0),"")</f>
        <v/>
      </c>
      <c r="L310" s="6" t="str">
        <f>IFERROR(VLOOKUP(A310,'Product Master'!D307:F20306,3,0),"")</f>
        <v/>
      </c>
    </row>
    <row r="311" spans="1:12" x14ac:dyDescent="0.2">
      <c r="A311" s="1"/>
      <c r="B311" s="8">
        <f>SUMIFS('Stock In-Out'!D:D,'Stock In-Out'!B:B,"Opening Stock",'Stock In-Out'!A:A,Inventory!A311)</f>
        <v>0</v>
      </c>
      <c r="C311" s="8">
        <f>SUMIFS('Stock In-Out'!D:D,'Stock In-Out'!B:B,"In",'Stock In-Out'!A:A,Inventory!A311)</f>
        <v>0</v>
      </c>
      <c r="D311" s="8">
        <f>SUMIFS('Stock In-Out'!D:D,'Stock In-Out'!B:B,"Out",'Stock In-Out'!A:A,Inventory!A311)</f>
        <v>0</v>
      </c>
      <c r="E311" s="8">
        <f t="shared" si="6"/>
        <v>0</v>
      </c>
      <c r="F311" s="8" t="str">
        <f>IFERROR(VLOOKUP(A311,'Product Master'!D:N,10,0)*E311,"")</f>
        <v/>
      </c>
      <c r="G311" s="9" t="str">
        <f>IFERROR(VLOOKUP(A311,'Product Master'!D:N,11,0)*E311,"")</f>
        <v/>
      </c>
      <c r="H311" s="8">
        <f>SUMIFS('Product Master'!G:G,'Product Master'!D:D,Inventory!A311)+SUMIFS('Stock In-Out'!I:I,'Stock In-Out'!A:A,Inventory!A311)-SUMIFS('Stock In-Out'!J:J,'Stock In-Out'!A:A,Inventory!A311)</f>
        <v>0</v>
      </c>
      <c r="I311" s="8">
        <f>SUMIFS('Product Master'!H:H,'Product Master'!D:D,Inventory!A311)+SUMIFS('Stock In-Out'!K:K,'Stock In-Out'!A:A,Inventory!A311)-SUMIFS('Stock In-Out'!L:L,'Stock In-Out'!A:A,Inventory!A311)</f>
        <v>0</v>
      </c>
      <c r="J311" s="8">
        <f>SUMIFS('Product Master'!I:I,'Product Master'!D:D,Inventory!A311)+SUMIFS('Stock In-Out'!M:M,'Stock In-Out'!A:A,Inventory!A311)-SUMIFS('Stock In-Out'!N:N,'Stock In-Out'!A:A,Inventory!A311)</f>
        <v>0</v>
      </c>
      <c r="K311" s="8" t="str">
        <f>IFERROR(VLOOKUP(A311,'Product Master'!D:N,7,0),"")</f>
        <v/>
      </c>
      <c r="L311" s="6" t="str">
        <f>IFERROR(VLOOKUP(A311,'Product Master'!D308:F20307,3,0),"")</f>
        <v/>
      </c>
    </row>
    <row r="312" spans="1:12" x14ac:dyDescent="0.2">
      <c r="A312" s="1"/>
      <c r="B312" s="8">
        <f>SUMIFS('Stock In-Out'!D:D,'Stock In-Out'!B:B,"Opening Stock",'Stock In-Out'!A:A,Inventory!A312)</f>
        <v>0</v>
      </c>
      <c r="C312" s="8">
        <f>SUMIFS('Stock In-Out'!D:D,'Stock In-Out'!B:B,"In",'Stock In-Out'!A:A,Inventory!A312)</f>
        <v>0</v>
      </c>
      <c r="D312" s="8">
        <f>SUMIFS('Stock In-Out'!D:D,'Stock In-Out'!B:B,"Out",'Stock In-Out'!A:A,Inventory!A312)</f>
        <v>0</v>
      </c>
      <c r="E312" s="8">
        <f t="shared" si="6"/>
        <v>0</v>
      </c>
      <c r="F312" s="8" t="str">
        <f>IFERROR(VLOOKUP(A312,'Product Master'!D:N,10,0)*E312,"")</f>
        <v/>
      </c>
      <c r="G312" s="9" t="str">
        <f>IFERROR(VLOOKUP(A312,'Product Master'!D:N,11,0)*E312,"")</f>
        <v/>
      </c>
      <c r="H312" s="8">
        <f>SUMIFS('Product Master'!G:G,'Product Master'!D:D,Inventory!A312)+SUMIFS('Stock In-Out'!I:I,'Stock In-Out'!A:A,Inventory!A312)-SUMIFS('Stock In-Out'!J:J,'Stock In-Out'!A:A,Inventory!A312)</f>
        <v>0</v>
      </c>
      <c r="I312" s="8">
        <f>SUMIFS('Product Master'!H:H,'Product Master'!D:D,Inventory!A312)+SUMIFS('Stock In-Out'!K:K,'Stock In-Out'!A:A,Inventory!A312)-SUMIFS('Stock In-Out'!L:L,'Stock In-Out'!A:A,Inventory!A312)</f>
        <v>0</v>
      </c>
      <c r="J312" s="8">
        <f>SUMIFS('Product Master'!I:I,'Product Master'!D:D,Inventory!A312)+SUMIFS('Stock In-Out'!M:M,'Stock In-Out'!A:A,Inventory!A312)-SUMIFS('Stock In-Out'!N:N,'Stock In-Out'!A:A,Inventory!A312)</f>
        <v>0</v>
      </c>
      <c r="K312" s="8" t="str">
        <f>IFERROR(VLOOKUP(A312,'Product Master'!D:N,7,0),"")</f>
        <v/>
      </c>
      <c r="L312" s="6" t="str">
        <f>IFERROR(VLOOKUP(A312,'Product Master'!D309:F20308,3,0),"")</f>
        <v/>
      </c>
    </row>
    <row r="313" spans="1:12" x14ac:dyDescent="0.2">
      <c r="A313" s="1"/>
      <c r="B313" s="8">
        <f>SUMIFS('Stock In-Out'!D:D,'Stock In-Out'!B:B,"Opening Stock",'Stock In-Out'!A:A,Inventory!A313)</f>
        <v>0</v>
      </c>
      <c r="C313" s="8">
        <f>SUMIFS('Stock In-Out'!D:D,'Stock In-Out'!B:B,"In",'Stock In-Out'!A:A,Inventory!A313)</f>
        <v>0</v>
      </c>
      <c r="D313" s="8">
        <f>SUMIFS('Stock In-Out'!D:D,'Stock In-Out'!B:B,"Out",'Stock In-Out'!A:A,Inventory!A313)</f>
        <v>0</v>
      </c>
      <c r="E313" s="8">
        <f t="shared" si="6"/>
        <v>0</v>
      </c>
      <c r="F313" s="8" t="str">
        <f>IFERROR(VLOOKUP(A313,'Product Master'!D:N,10,0)*E313,"")</f>
        <v/>
      </c>
      <c r="G313" s="9" t="str">
        <f>IFERROR(VLOOKUP(A313,'Product Master'!D:N,11,0)*E313,"")</f>
        <v/>
      </c>
      <c r="H313" s="8">
        <f>SUMIFS('Product Master'!G:G,'Product Master'!D:D,Inventory!A313)+SUMIFS('Stock In-Out'!I:I,'Stock In-Out'!A:A,Inventory!A313)-SUMIFS('Stock In-Out'!J:J,'Stock In-Out'!A:A,Inventory!A313)</f>
        <v>0</v>
      </c>
      <c r="I313" s="8">
        <f>SUMIFS('Product Master'!H:H,'Product Master'!D:D,Inventory!A313)+SUMIFS('Stock In-Out'!K:K,'Stock In-Out'!A:A,Inventory!A313)-SUMIFS('Stock In-Out'!L:L,'Stock In-Out'!A:A,Inventory!A313)</f>
        <v>0</v>
      </c>
      <c r="J313" s="8">
        <f>SUMIFS('Product Master'!I:I,'Product Master'!D:D,Inventory!A313)+SUMIFS('Stock In-Out'!M:M,'Stock In-Out'!A:A,Inventory!A313)-SUMIFS('Stock In-Out'!N:N,'Stock In-Out'!A:A,Inventory!A313)</f>
        <v>0</v>
      </c>
      <c r="K313" s="8" t="str">
        <f>IFERROR(VLOOKUP(A313,'Product Master'!D:N,7,0),"")</f>
        <v/>
      </c>
      <c r="L313" s="6" t="str">
        <f>IFERROR(VLOOKUP(A313,'Product Master'!D310:F20309,3,0),"")</f>
        <v/>
      </c>
    </row>
    <row r="314" spans="1:12" x14ac:dyDescent="0.2">
      <c r="A314" s="1"/>
      <c r="B314" s="8">
        <f>SUMIFS('Stock In-Out'!D:D,'Stock In-Out'!B:B,"Opening Stock",'Stock In-Out'!A:A,Inventory!A314)</f>
        <v>0</v>
      </c>
      <c r="C314" s="8">
        <f>SUMIFS('Stock In-Out'!D:D,'Stock In-Out'!B:B,"In",'Stock In-Out'!A:A,Inventory!A314)</f>
        <v>0</v>
      </c>
      <c r="D314" s="8">
        <f>SUMIFS('Stock In-Out'!D:D,'Stock In-Out'!B:B,"Out",'Stock In-Out'!A:A,Inventory!A314)</f>
        <v>0</v>
      </c>
      <c r="E314" s="8">
        <f t="shared" si="6"/>
        <v>0</v>
      </c>
      <c r="F314" s="8" t="str">
        <f>IFERROR(VLOOKUP(A314,'Product Master'!D:N,10,0)*E314,"")</f>
        <v/>
      </c>
      <c r="G314" s="9" t="str">
        <f>IFERROR(VLOOKUP(A314,'Product Master'!D:N,11,0)*E314,"")</f>
        <v/>
      </c>
      <c r="H314" s="8">
        <f>SUMIFS('Product Master'!G:G,'Product Master'!D:D,Inventory!A314)+SUMIFS('Stock In-Out'!I:I,'Stock In-Out'!A:A,Inventory!A314)-SUMIFS('Stock In-Out'!J:J,'Stock In-Out'!A:A,Inventory!A314)</f>
        <v>0</v>
      </c>
      <c r="I314" s="8">
        <f>SUMIFS('Product Master'!H:H,'Product Master'!D:D,Inventory!A314)+SUMIFS('Stock In-Out'!K:K,'Stock In-Out'!A:A,Inventory!A314)-SUMIFS('Stock In-Out'!L:L,'Stock In-Out'!A:A,Inventory!A314)</f>
        <v>0</v>
      </c>
      <c r="J314" s="8">
        <f>SUMIFS('Product Master'!I:I,'Product Master'!D:D,Inventory!A314)+SUMIFS('Stock In-Out'!M:M,'Stock In-Out'!A:A,Inventory!A314)-SUMIFS('Stock In-Out'!N:N,'Stock In-Out'!A:A,Inventory!A314)</f>
        <v>0</v>
      </c>
      <c r="K314" s="8" t="str">
        <f>IFERROR(VLOOKUP(A314,'Product Master'!D:N,7,0),"")</f>
        <v/>
      </c>
      <c r="L314" s="6" t="str">
        <f>IFERROR(VLOOKUP(A314,'Product Master'!D311:F20310,3,0),"")</f>
        <v/>
      </c>
    </row>
    <row r="315" spans="1:12" x14ac:dyDescent="0.2">
      <c r="A315" s="1"/>
      <c r="B315" s="8">
        <f>SUMIFS('Stock In-Out'!D:D,'Stock In-Out'!B:B,"Opening Stock",'Stock In-Out'!A:A,Inventory!A315)</f>
        <v>0</v>
      </c>
      <c r="C315" s="8">
        <f>SUMIFS('Stock In-Out'!D:D,'Stock In-Out'!B:B,"In",'Stock In-Out'!A:A,Inventory!A315)</f>
        <v>0</v>
      </c>
      <c r="D315" s="8">
        <f>SUMIFS('Stock In-Out'!D:D,'Stock In-Out'!B:B,"Out",'Stock In-Out'!A:A,Inventory!A315)</f>
        <v>0</v>
      </c>
      <c r="E315" s="8">
        <f t="shared" si="6"/>
        <v>0</v>
      </c>
      <c r="F315" s="8" t="str">
        <f>IFERROR(VLOOKUP(A315,'Product Master'!D:N,10,0)*E315,"")</f>
        <v/>
      </c>
      <c r="G315" s="9" t="str">
        <f>IFERROR(VLOOKUP(A315,'Product Master'!D:N,11,0)*E315,"")</f>
        <v/>
      </c>
      <c r="H315" s="8">
        <f>SUMIFS('Product Master'!G:G,'Product Master'!D:D,Inventory!A315)+SUMIFS('Stock In-Out'!I:I,'Stock In-Out'!A:A,Inventory!A315)-SUMIFS('Stock In-Out'!J:J,'Stock In-Out'!A:A,Inventory!A315)</f>
        <v>0</v>
      </c>
      <c r="I315" s="8">
        <f>SUMIFS('Product Master'!H:H,'Product Master'!D:D,Inventory!A315)+SUMIFS('Stock In-Out'!K:K,'Stock In-Out'!A:A,Inventory!A315)-SUMIFS('Stock In-Out'!L:L,'Stock In-Out'!A:A,Inventory!A315)</f>
        <v>0</v>
      </c>
      <c r="J315" s="8">
        <f>SUMIFS('Product Master'!I:I,'Product Master'!D:D,Inventory!A315)+SUMIFS('Stock In-Out'!M:M,'Stock In-Out'!A:A,Inventory!A315)-SUMIFS('Stock In-Out'!N:N,'Stock In-Out'!A:A,Inventory!A315)</f>
        <v>0</v>
      </c>
      <c r="K315" s="8" t="str">
        <f>IFERROR(VLOOKUP(A315,'Product Master'!D:N,7,0),"")</f>
        <v/>
      </c>
      <c r="L315" s="6" t="str">
        <f>IFERROR(VLOOKUP(A315,'Product Master'!D312:F20311,3,0),"")</f>
        <v/>
      </c>
    </row>
    <row r="316" spans="1:12" x14ac:dyDescent="0.2">
      <c r="A316" s="1"/>
      <c r="B316" s="8">
        <f>SUMIFS('Stock In-Out'!D:D,'Stock In-Out'!B:B,"Opening Stock",'Stock In-Out'!A:A,Inventory!A316)</f>
        <v>0</v>
      </c>
      <c r="C316" s="8">
        <f>SUMIFS('Stock In-Out'!D:D,'Stock In-Out'!B:B,"In",'Stock In-Out'!A:A,Inventory!A316)</f>
        <v>0</v>
      </c>
      <c r="D316" s="8">
        <f>SUMIFS('Stock In-Out'!D:D,'Stock In-Out'!B:B,"Out",'Stock In-Out'!A:A,Inventory!A316)</f>
        <v>0</v>
      </c>
      <c r="E316" s="8">
        <f t="shared" si="6"/>
        <v>0</v>
      </c>
      <c r="F316" s="8" t="str">
        <f>IFERROR(VLOOKUP(A316,'Product Master'!D:N,10,0)*E316,"")</f>
        <v/>
      </c>
      <c r="G316" s="9" t="str">
        <f>IFERROR(VLOOKUP(A316,'Product Master'!D:N,11,0)*E316,"")</f>
        <v/>
      </c>
      <c r="H316" s="8">
        <f>SUMIFS('Product Master'!G:G,'Product Master'!D:D,Inventory!A316)+SUMIFS('Stock In-Out'!I:I,'Stock In-Out'!A:A,Inventory!A316)-SUMIFS('Stock In-Out'!J:J,'Stock In-Out'!A:A,Inventory!A316)</f>
        <v>0</v>
      </c>
      <c r="I316" s="8">
        <f>SUMIFS('Product Master'!H:H,'Product Master'!D:D,Inventory!A316)+SUMIFS('Stock In-Out'!K:K,'Stock In-Out'!A:A,Inventory!A316)-SUMIFS('Stock In-Out'!L:L,'Stock In-Out'!A:A,Inventory!A316)</f>
        <v>0</v>
      </c>
      <c r="J316" s="8">
        <f>SUMIFS('Product Master'!I:I,'Product Master'!D:D,Inventory!A316)+SUMIFS('Stock In-Out'!M:M,'Stock In-Out'!A:A,Inventory!A316)-SUMIFS('Stock In-Out'!N:N,'Stock In-Out'!A:A,Inventory!A316)</f>
        <v>0</v>
      </c>
      <c r="K316" s="8" t="str">
        <f>IFERROR(VLOOKUP(A316,'Product Master'!D:N,7,0),"")</f>
        <v/>
      </c>
      <c r="L316" s="6" t="str">
        <f>IFERROR(VLOOKUP(A316,'Product Master'!D313:F20312,3,0),"")</f>
        <v/>
      </c>
    </row>
    <row r="317" spans="1:12" x14ac:dyDescent="0.2">
      <c r="A317" s="1"/>
      <c r="B317" s="8">
        <f>SUMIFS('Stock In-Out'!D:D,'Stock In-Out'!B:B,"Opening Stock",'Stock In-Out'!A:A,Inventory!A317)</f>
        <v>0</v>
      </c>
      <c r="C317" s="8">
        <f>SUMIFS('Stock In-Out'!D:D,'Stock In-Out'!B:B,"In",'Stock In-Out'!A:A,Inventory!A317)</f>
        <v>0</v>
      </c>
      <c r="D317" s="8">
        <f>SUMIFS('Stock In-Out'!D:D,'Stock In-Out'!B:B,"Out",'Stock In-Out'!A:A,Inventory!A317)</f>
        <v>0</v>
      </c>
      <c r="E317" s="8">
        <f t="shared" si="6"/>
        <v>0</v>
      </c>
      <c r="F317" s="8" t="str">
        <f>IFERROR(VLOOKUP(A317,'Product Master'!D:N,10,0)*E317,"")</f>
        <v/>
      </c>
      <c r="G317" s="9" t="str">
        <f>IFERROR(VLOOKUP(A317,'Product Master'!D:N,11,0)*E317,"")</f>
        <v/>
      </c>
      <c r="H317" s="8">
        <f>SUMIFS('Product Master'!G:G,'Product Master'!D:D,Inventory!A317)+SUMIFS('Stock In-Out'!I:I,'Stock In-Out'!A:A,Inventory!A317)-SUMIFS('Stock In-Out'!J:J,'Stock In-Out'!A:A,Inventory!A317)</f>
        <v>0</v>
      </c>
      <c r="I317" s="8">
        <f>SUMIFS('Product Master'!H:H,'Product Master'!D:D,Inventory!A317)+SUMIFS('Stock In-Out'!K:K,'Stock In-Out'!A:A,Inventory!A317)-SUMIFS('Stock In-Out'!L:L,'Stock In-Out'!A:A,Inventory!A317)</f>
        <v>0</v>
      </c>
      <c r="J317" s="8">
        <f>SUMIFS('Product Master'!I:I,'Product Master'!D:D,Inventory!A317)+SUMIFS('Stock In-Out'!M:M,'Stock In-Out'!A:A,Inventory!A317)-SUMIFS('Stock In-Out'!N:N,'Stock In-Out'!A:A,Inventory!A317)</f>
        <v>0</v>
      </c>
      <c r="K317" s="8" t="str">
        <f>IFERROR(VLOOKUP(A317,'Product Master'!D:N,7,0),"")</f>
        <v/>
      </c>
      <c r="L317" s="6" t="str">
        <f>IFERROR(VLOOKUP(A317,'Product Master'!D314:F20313,3,0),"")</f>
        <v/>
      </c>
    </row>
    <row r="318" spans="1:12" x14ac:dyDescent="0.2">
      <c r="A318" s="1"/>
      <c r="B318" s="8">
        <f>SUMIFS('Stock In-Out'!D:D,'Stock In-Out'!B:B,"Opening Stock",'Stock In-Out'!A:A,Inventory!A318)</f>
        <v>0</v>
      </c>
      <c r="C318" s="8">
        <f>SUMIFS('Stock In-Out'!D:D,'Stock In-Out'!B:B,"In",'Stock In-Out'!A:A,Inventory!A318)</f>
        <v>0</v>
      </c>
      <c r="D318" s="8">
        <f>SUMIFS('Stock In-Out'!D:D,'Stock In-Out'!B:B,"Out",'Stock In-Out'!A:A,Inventory!A318)</f>
        <v>0</v>
      </c>
      <c r="E318" s="8">
        <f t="shared" si="6"/>
        <v>0</v>
      </c>
      <c r="F318" s="8" t="str">
        <f>IFERROR(VLOOKUP(A318,'Product Master'!D:N,10,0)*E318,"")</f>
        <v/>
      </c>
      <c r="G318" s="9" t="str">
        <f>IFERROR(VLOOKUP(A318,'Product Master'!D:N,11,0)*E318,"")</f>
        <v/>
      </c>
      <c r="H318" s="8">
        <f>SUMIFS('Product Master'!G:G,'Product Master'!D:D,Inventory!A318)+SUMIFS('Stock In-Out'!I:I,'Stock In-Out'!A:A,Inventory!A318)-SUMIFS('Stock In-Out'!J:J,'Stock In-Out'!A:A,Inventory!A318)</f>
        <v>0</v>
      </c>
      <c r="I318" s="8">
        <f>SUMIFS('Product Master'!H:H,'Product Master'!D:D,Inventory!A318)+SUMIFS('Stock In-Out'!K:K,'Stock In-Out'!A:A,Inventory!A318)-SUMIFS('Stock In-Out'!L:L,'Stock In-Out'!A:A,Inventory!A318)</f>
        <v>0</v>
      </c>
      <c r="J318" s="8">
        <f>SUMIFS('Product Master'!I:I,'Product Master'!D:D,Inventory!A318)+SUMIFS('Stock In-Out'!M:M,'Stock In-Out'!A:A,Inventory!A318)-SUMIFS('Stock In-Out'!N:N,'Stock In-Out'!A:A,Inventory!A318)</f>
        <v>0</v>
      </c>
      <c r="K318" s="8" t="str">
        <f>IFERROR(VLOOKUP(A318,'Product Master'!D:N,7,0),"")</f>
        <v/>
      </c>
      <c r="L318" s="6" t="str">
        <f>IFERROR(VLOOKUP(A318,'Product Master'!D315:F20314,3,0),"")</f>
        <v/>
      </c>
    </row>
    <row r="319" spans="1:12" x14ac:dyDescent="0.2">
      <c r="A319" s="1"/>
      <c r="B319" s="8">
        <f>SUMIFS('Stock In-Out'!D:D,'Stock In-Out'!B:B,"Opening Stock",'Stock In-Out'!A:A,Inventory!A319)</f>
        <v>0</v>
      </c>
      <c r="C319" s="8">
        <f>SUMIFS('Stock In-Out'!D:D,'Stock In-Out'!B:B,"In",'Stock In-Out'!A:A,Inventory!A319)</f>
        <v>0</v>
      </c>
      <c r="D319" s="8">
        <f>SUMIFS('Stock In-Out'!D:D,'Stock In-Out'!B:B,"Out",'Stock In-Out'!A:A,Inventory!A319)</f>
        <v>0</v>
      </c>
      <c r="E319" s="8">
        <f t="shared" si="6"/>
        <v>0</v>
      </c>
      <c r="F319" s="8" t="str">
        <f>IFERROR(VLOOKUP(A319,'Product Master'!D:N,10,0)*E319,"")</f>
        <v/>
      </c>
      <c r="G319" s="9" t="str">
        <f>IFERROR(VLOOKUP(A319,'Product Master'!D:N,11,0)*E319,"")</f>
        <v/>
      </c>
      <c r="H319" s="8">
        <f>SUMIFS('Product Master'!G:G,'Product Master'!D:D,Inventory!A319)+SUMIFS('Stock In-Out'!I:I,'Stock In-Out'!A:A,Inventory!A319)-SUMIFS('Stock In-Out'!J:J,'Stock In-Out'!A:A,Inventory!A319)</f>
        <v>0</v>
      </c>
      <c r="I319" s="8">
        <f>SUMIFS('Product Master'!H:H,'Product Master'!D:D,Inventory!A319)+SUMIFS('Stock In-Out'!K:K,'Stock In-Out'!A:A,Inventory!A319)-SUMIFS('Stock In-Out'!L:L,'Stock In-Out'!A:A,Inventory!A319)</f>
        <v>0</v>
      </c>
      <c r="J319" s="8">
        <f>SUMIFS('Product Master'!I:I,'Product Master'!D:D,Inventory!A319)+SUMIFS('Stock In-Out'!M:M,'Stock In-Out'!A:A,Inventory!A319)-SUMIFS('Stock In-Out'!N:N,'Stock In-Out'!A:A,Inventory!A319)</f>
        <v>0</v>
      </c>
      <c r="K319" s="8" t="str">
        <f>IFERROR(VLOOKUP(A319,'Product Master'!D:N,7,0),"")</f>
        <v/>
      </c>
      <c r="L319" s="6" t="str">
        <f>IFERROR(VLOOKUP(A319,'Product Master'!D316:F20315,3,0),"")</f>
        <v/>
      </c>
    </row>
    <row r="320" spans="1:12" x14ac:dyDescent="0.2">
      <c r="A320" s="1"/>
      <c r="B320" s="8">
        <f>SUMIFS('Stock In-Out'!D:D,'Stock In-Out'!B:B,"Opening Stock",'Stock In-Out'!A:A,Inventory!A320)</f>
        <v>0</v>
      </c>
      <c r="C320" s="8">
        <f>SUMIFS('Stock In-Out'!D:D,'Stock In-Out'!B:B,"In",'Stock In-Out'!A:A,Inventory!A320)</f>
        <v>0</v>
      </c>
      <c r="D320" s="8">
        <f>SUMIFS('Stock In-Out'!D:D,'Stock In-Out'!B:B,"Out",'Stock In-Out'!A:A,Inventory!A320)</f>
        <v>0</v>
      </c>
      <c r="E320" s="8">
        <f t="shared" si="6"/>
        <v>0</v>
      </c>
      <c r="F320" s="8" t="str">
        <f>IFERROR(VLOOKUP(A320,'Product Master'!D:N,10,0)*E320,"")</f>
        <v/>
      </c>
      <c r="G320" s="9" t="str">
        <f>IFERROR(VLOOKUP(A320,'Product Master'!D:N,11,0)*E320,"")</f>
        <v/>
      </c>
      <c r="H320" s="8">
        <f>SUMIFS('Product Master'!G:G,'Product Master'!D:D,Inventory!A320)+SUMIFS('Stock In-Out'!I:I,'Stock In-Out'!A:A,Inventory!A320)-SUMIFS('Stock In-Out'!J:J,'Stock In-Out'!A:A,Inventory!A320)</f>
        <v>0</v>
      </c>
      <c r="I320" s="8">
        <f>SUMIFS('Product Master'!H:H,'Product Master'!D:D,Inventory!A320)+SUMIFS('Stock In-Out'!K:K,'Stock In-Out'!A:A,Inventory!A320)-SUMIFS('Stock In-Out'!L:L,'Stock In-Out'!A:A,Inventory!A320)</f>
        <v>0</v>
      </c>
      <c r="J320" s="8">
        <f>SUMIFS('Product Master'!I:I,'Product Master'!D:D,Inventory!A320)+SUMIFS('Stock In-Out'!M:M,'Stock In-Out'!A:A,Inventory!A320)-SUMIFS('Stock In-Out'!N:N,'Stock In-Out'!A:A,Inventory!A320)</f>
        <v>0</v>
      </c>
      <c r="K320" s="8" t="str">
        <f>IFERROR(VLOOKUP(A320,'Product Master'!D:N,7,0),"")</f>
        <v/>
      </c>
      <c r="L320" s="6" t="str">
        <f>IFERROR(VLOOKUP(A320,'Product Master'!D317:F20316,3,0),"")</f>
        <v/>
      </c>
    </row>
    <row r="321" spans="1:12" x14ac:dyDescent="0.2">
      <c r="A321" s="1"/>
      <c r="B321" s="8">
        <f>SUMIFS('Stock In-Out'!D:D,'Stock In-Out'!B:B,"Opening Stock",'Stock In-Out'!A:A,Inventory!A321)</f>
        <v>0</v>
      </c>
      <c r="C321" s="8">
        <f>SUMIFS('Stock In-Out'!D:D,'Stock In-Out'!B:B,"In",'Stock In-Out'!A:A,Inventory!A321)</f>
        <v>0</v>
      </c>
      <c r="D321" s="8">
        <f>SUMIFS('Stock In-Out'!D:D,'Stock In-Out'!B:B,"Out",'Stock In-Out'!A:A,Inventory!A321)</f>
        <v>0</v>
      </c>
      <c r="E321" s="8">
        <f t="shared" si="6"/>
        <v>0</v>
      </c>
      <c r="F321" s="8" t="str">
        <f>IFERROR(VLOOKUP(A321,'Product Master'!D:N,10,0)*E321,"")</f>
        <v/>
      </c>
      <c r="G321" s="9" t="str">
        <f>IFERROR(VLOOKUP(A321,'Product Master'!D:N,11,0)*E321,"")</f>
        <v/>
      </c>
      <c r="H321" s="8">
        <f>SUMIFS('Product Master'!G:G,'Product Master'!D:D,Inventory!A321)+SUMIFS('Stock In-Out'!I:I,'Stock In-Out'!A:A,Inventory!A321)-SUMIFS('Stock In-Out'!J:J,'Stock In-Out'!A:A,Inventory!A321)</f>
        <v>0</v>
      </c>
      <c r="I321" s="8">
        <f>SUMIFS('Product Master'!H:H,'Product Master'!D:D,Inventory!A321)+SUMIFS('Stock In-Out'!K:K,'Stock In-Out'!A:A,Inventory!A321)-SUMIFS('Stock In-Out'!L:L,'Stock In-Out'!A:A,Inventory!A321)</f>
        <v>0</v>
      </c>
      <c r="J321" s="8">
        <f>SUMIFS('Product Master'!I:I,'Product Master'!D:D,Inventory!A321)+SUMIFS('Stock In-Out'!M:M,'Stock In-Out'!A:A,Inventory!A321)-SUMIFS('Stock In-Out'!N:N,'Stock In-Out'!A:A,Inventory!A321)</f>
        <v>0</v>
      </c>
      <c r="K321" s="8" t="str">
        <f>IFERROR(VLOOKUP(A321,'Product Master'!D:N,7,0),"")</f>
        <v/>
      </c>
      <c r="L321" s="6" t="str">
        <f>IFERROR(VLOOKUP(A321,'Product Master'!D318:F20317,3,0),"")</f>
        <v/>
      </c>
    </row>
    <row r="322" spans="1:12" x14ac:dyDescent="0.2">
      <c r="A322" s="1"/>
      <c r="B322" s="8">
        <f>SUMIFS('Stock In-Out'!D:D,'Stock In-Out'!B:B,"Opening Stock",'Stock In-Out'!A:A,Inventory!A322)</f>
        <v>0</v>
      </c>
      <c r="C322" s="8">
        <f>SUMIFS('Stock In-Out'!D:D,'Stock In-Out'!B:B,"In",'Stock In-Out'!A:A,Inventory!A322)</f>
        <v>0</v>
      </c>
      <c r="D322" s="8">
        <f>SUMIFS('Stock In-Out'!D:D,'Stock In-Out'!B:B,"Out",'Stock In-Out'!A:A,Inventory!A322)</f>
        <v>0</v>
      </c>
      <c r="E322" s="8">
        <f t="shared" si="6"/>
        <v>0</v>
      </c>
      <c r="F322" s="8" t="str">
        <f>IFERROR(VLOOKUP(A322,'Product Master'!D:N,10,0)*E322,"")</f>
        <v/>
      </c>
      <c r="G322" s="9" t="str">
        <f>IFERROR(VLOOKUP(A322,'Product Master'!D:N,11,0)*E322,"")</f>
        <v/>
      </c>
      <c r="H322" s="8">
        <f>SUMIFS('Product Master'!G:G,'Product Master'!D:D,Inventory!A322)+SUMIFS('Stock In-Out'!I:I,'Stock In-Out'!A:A,Inventory!A322)-SUMIFS('Stock In-Out'!J:J,'Stock In-Out'!A:A,Inventory!A322)</f>
        <v>0</v>
      </c>
      <c r="I322" s="8">
        <f>SUMIFS('Product Master'!H:H,'Product Master'!D:D,Inventory!A322)+SUMIFS('Stock In-Out'!K:K,'Stock In-Out'!A:A,Inventory!A322)-SUMIFS('Stock In-Out'!L:L,'Stock In-Out'!A:A,Inventory!A322)</f>
        <v>0</v>
      </c>
      <c r="J322" s="8">
        <f>SUMIFS('Product Master'!I:I,'Product Master'!D:D,Inventory!A322)+SUMIFS('Stock In-Out'!M:M,'Stock In-Out'!A:A,Inventory!A322)-SUMIFS('Stock In-Out'!N:N,'Stock In-Out'!A:A,Inventory!A322)</f>
        <v>0</v>
      </c>
      <c r="K322" s="8" t="str">
        <f>IFERROR(VLOOKUP(A322,'Product Master'!D:N,7,0),"")</f>
        <v/>
      </c>
      <c r="L322" s="6" t="str">
        <f>IFERROR(VLOOKUP(A322,'Product Master'!D319:F20318,3,0),"")</f>
        <v/>
      </c>
    </row>
    <row r="323" spans="1:12" x14ac:dyDescent="0.2">
      <c r="A323" s="1"/>
      <c r="B323" s="8">
        <f>SUMIFS('Stock In-Out'!D:D,'Stock In-Out'!B:B,"Opening Stock",'Stock In-Out'!A:A,Inventory!A323)</f>
        <v>0</v>
      </c>
      <c r="C323" s="8">
        <f>SUMIFS('Stock In-Out'!D:D,'Stock In-Out'!B:B,"In",'Stock In-Out'!A:A,Inventory!A323)</f>
        <v>0</v>
      </c>
      <c r="D323" s="8">
        <f>SUMIFS('Stock In-Out'!D:D,'Stock In-Out'!B:B,"Out",'Stock In-Out'!A:A,Inventory!A323)</f>
        <v>0</v>
      </c>
      <c r="E323" s="8">
        <f t="shared" si="6"/>
        <v>0</v>
      </c>
      <c r="F323" s="8" t="str">
        <f>IFERROR(VLOOKUP(A323,'Product Master'!D:N,10,0)*E323,"")</f>
        <v/>
      </c>
      <c r="G323" s="9" t="str">
        <f>IFERROR(VLOOKUP(A323,'Product Master'!D:N,11,0)*E323,"")</f>
        <v/>
      </c>
      <c r="H323" s="8">
        <f>SUMIFS('Product Master'!G:G,'Product Master'!D:D,Inventory!A323)+SUMIFS('Stock In-Out'!I:I,'Stock In-Out'!A:A,Inventory!A323)-SUMIFS('Stock In-Out'!J:J,'Stock In-Out'!A:A,Inventory!A323)</f>
        <v>0</v>
      </c>
      <c r="I323" s="8">
        <f>SUMIFS('Product Master'!H:H,'Product Master'!D:D,Inventory!A323)+SUMIFS('Stock In-Out'!K:K,'Stock In-Out'!A:A,Inventory!A323)-SUMIFS('Stock In-Out'!L:L,'Stock In-Out'!A:A,Inventory!A323)</f>
        <v>0</v>
      </c>
      <c r="J323" s="8">
        <f>SUMIFS('Product Master'!I:I,'Product Master'!D:D,Inventory!A323)+SUMIFS('Stock In-Out'!M:M,'Stock In-Out'!A:A,Inventory!A323)-SUMIFS('Stock In-Out'!N:N,'Stock In-Out'!A:A,Inventory!A323)</f>
        <v>0</v>
      </c>
      <c r="K323" s="8" t="str">
        <f>IFERROR(VLOOKUP(A323,'Product Master'!D:N,7,0),"")</f>
        <v/>
      </c>
      <c r="L323" s="6" t="str">
        <f>IFERROR(VLOOKUP(A323,'Product Master'!D320:F20319,3,0),"")</f>
        <v/>
      </c>
    </row>
    <row r="324" spans="1:12" x14ac:dyDescent="0.2">
      <c r="A324" s="1"/>
      <c r="B324" s="8">
        <f>SUMIFS('Stock In-Out'!D:D,'Stock In-Out'!B:B,"Opening Stock",'Stock In-Out'!A:A,Inventory!A324)</f>
        <v>0</v>
      </c>
      <c r="C324" s="8">
        <f>SUMIFS('Stock In-Out'!D:D,'Stock In-Out'!B:B,"In",'Stock In-Out'!A:A,Inventory!A324)</f>
        <v>0</v>
      </c>
      <c r="D324" s="8">
        <f>SUMIFS('Stock In-Out'!D:D,'Stock In-Out'!B:B,"Out",'Stock In-Out'!A:A,Inventory!A324)</f>
        <v>0</v>
      </c>
      <c r="E324" s="8">
        <f t="shared" si="6"/>
        <v>0</v>
      </c>
      <c r="F324" s="8" t="str">
        <f>IFERROR(VLOOKUP(A324,'Product Master'!D:N,10,0)*E324,"")</f>
        <v/>
      </c>
      <c r="G324" s="9" t="str">
        <f>IFERROR(VLOOKUP(A324,'Product Master'!D:N,11,0)*E324,"")</f>
        <v/>
      </c>
      <c r="H324" s="8">
        <f>SUMIFS('Product Master'!G:G,'Product Master'!D:D,Inventory!A324)+SUMIFS('Stock In-Out'!I:I,'Stock In-Out'!A:A,Inventory!A324)-SUMIFS('Stock In-Out'!J:J,'Stock In-Out'!A:A,Inventory!A324)</f>
        <v>0</v>
      </c>
      <c r="I324" s="8">
        <f>SUMIFS('Product Master'!H:H,'Product Master'!D:D,Inventory!A324)+SUMIFS('Stock In-Out'!K:K,'Stock In-Out'!A:A,Inventory!A324)-SUMIFS('Stock In-Out'!L:L,'Stock In-Out'!A:A,Inventory!A324)</f>
        <v>0</v>
      </c>
      <c r="J324" s="8">
        <f>SUMIFS('Product Master'!I:I,'Product Master'!D:D,Inventory!A324)+SUMIFS('Stock In-Out'!M:M,'Stock In-Out'!A:A,Inventory!A324)-SUMIFS('Stock In-Out'!N:N,'Stock In-Out'!A:A,Inventory!A324)</f>
        <v>0</v>
      </c>
      <c r="K324" s="8" t="str">
        <f>IFERROR(VLOOKUP(A324,'Product Master'!D:N,7,0),"")</f>
        <v/>
      </c>
      <c r="L324" s="6" t="str">
        <f>IFERROR(VLOOKUP(A324,'Product Master'!D321:F20320,3,0),"")</f>
        <v/>
      </c>
    </row>
    <row r="325" spans="1:12" x14ac:dyDescent="0.2">
      <c r="A325" s="1"/>
      <c r="B325" s="8">
        <f>SUMIFS('Stock In-Out'!D:D,'Stock In-Out'!B:B,"Opening Stock",'Stock In-Out'!A:A,Inventory!A325)</f>
        <v>0</v>
      </c>
      <c r="C325" s="8">
        <f>SUMIFS('Stock In-Out'!D:D,'Stock In-Out'!B:B,"In",'Stock In-Out'!A:A,Inventory!A325)</f>
        <v>0</v>
      </c>
      <c r="D325" s="8">
        <f>SUMIFS('Stock In-Out'!D:D,'Stock In-Out'!B:B,"Out",'Stock In-Out'!A:A,Inventory!A325)</f>
        <v>0</v>
      </c>
      <c r="E325" s="8">
        <f t="shared" si="6"/>
        <v>0</v>
      </c>
      <c r="F325" s="8" t="str">
        <f>IFERROR(VLOOKUP(A325,'Product Master'!D:N,10,0)*E325,"")</f>
        <v/>
      </c>
      <c r="G325" s="9" t="str">
        <f>IFERROR(VLOOKUP(A325,'Product Master'!D:N,11,0)*E325,"")</f>
        <v/>
      </c>
      <c r="H325" s="8">
        <f>SUMIFS('Product Master'!G:G,'Product Master'!D:D,Inventory!A325)+SUMIFS('Stock In-Out'!I:I,'Stock In-Out'!A:A,Inventory!A325)-SUMIFS('Stock In-Out'!J:J,'Stock In-Out'!A:A,Inventory!A325)</f>
        <v>0</v>
      </c>
      <c r="I325" s="8">
        <f>SUMIFS('Product Master'!H:H,'Product Master'!D:D,Inventory!A325)+SUMIFS('Stock In-Out'!K:K,'Stock In-Out'!A:A,Inventory!A325)-SUMIFS('Stock In-Out'!L:L,'Stock In-Out'!A:A,Inventory!A325)</f>
        <v>0</v>
      </c>
      <c r="J325" s="8">
        <f>SUMIFS('Product Master'!I:I,'Product Master'!D:D,Inventory!A325)+SUMIFS('Stock In-Out'!M:M,'Stock In-Out'!A:A,Inventory!A325)-SUMIFS('Stock In-Out'!N:N,'Stock In-Out'!A:A,Inventory!A325)</f>
        <v>0</v>
      </c>
      <c r="K325" s="8" t="str">
        <f>IFERROR(VLOOKUP(A325,'Product Master'!D:N,7,0),"")</f>
        <v/>
      </c>
      <c r="L325" s="6" t="str">
        <f>IFERROR(VLOOKUP(A325,'Product Master'!D322:F20321,3,0),"")</f>
        <v/>
      </c>
    </row>
    <row r="326" spans="1:12" x14ac:dyDescent="0.2">
      <c r="A326" s="1"/>
      <c r="B326" s="8">
        <f>SUMIFS('Stock In-Out'!D:D,'Stock In-Out'!B:B,"Opening Stock",'Stock In-Out'!A:A,Inventory!A326)</f>
        <v>0</v>
      </c>
      <c r="C326" s="8">
        <f>SUMIFS('Stock In-Out'!D:D,'Stock In-Out'!B:B,"In",'Stock In-Out'!A:A,Inventory!A326)</f>
        <v>0</v>
      </c>
      <c r="D326" s="8">
        <f>SUMIFS('Stock In-Out'!D:D,'Stock In-Out'!B:B,"Out",'Stock In-Out'!A:A,Inventory!A326)</f>
        <v>0</v>
      </c>
      <c r="E326" s="8">
        <f t="shared" si="6"/>
        <v>0</v>
      </c>
      <c r="F326" s="8" t="str">
        <f>IFERROR(VLOOKUP(A326,'Product Master'!D:N,10,0)*E326,"")</f>
        <v/>
      </c>
      <c r="G326" s="9" t="str">
        <f>IFERROR(VLOOKUP(A326,'Product Master'!D:N,11,0)*E326,"")</f>
        <v/>
      </c>
      <c r="H326" s="8">
        <f>SUMIFS('Product Master'!G:G,'Product Master'!D:D,Inventory!A326)+SUMIFS('Stock In-Out'!I:I,'Stock In-Out'!A:A,Inventory!A326)-SUMIFS('Stock In-Out'!J:J,'Stock In-Out'!A:A,Inventory!A326)</f>
        <v>0</v>
      </c>
      <c r="I326" s="8">
        <f>SUMIFS('Product Master'!H:H,'Product Master'!D:D,Inventory!A326)+SUMIFS('Stock In-Out'!K:K,'Stock In-Out'!A:A,Inventory!A326)-SUMIFS('Stock In-Out'!L:L,'Stock In-Out'!A:A,Inventory!A326)</f>
        <v>0</v>
      </c>
      <c r="J326" s="8">
        <f>SUMIFS('Product Master'!I:I,'Product Master'!D:D,Inventory!A326)+SUMIFS('Stock In-Out'!M:M,'Stock In-Out'!A:A,Inventory!A326)-SUMIFS('Stock In-Out'!N:N,'Stock In-Out'!A:A,Inventory!A326)</f>
        <v>0</v>
      </c>
      <c r="K326" s="8" t="str">
        <f>IFERROR(VLOOKUP(A326,'Product Master'!D:N,7,0),"")</f>
        <v/>
      </c>
      <c r="L326" s="6" t="str">
        <f>IFERROR(VLOOKUP(A326,'Product Master'!D323:F20322,3,0),"")</f>
        <v/>
      </c>
    </row>
    <row r="327" spans="1:12" x14ac:dyDescent="0.2">
      <c r="A327" s="1"/>
      <c r="B327" s="8">
        <f>SUMIFS('Stock In-Out'!D:D,'Stock In-Out'!B:B,"Opening Stock",'Stock In-Out'!A:A,Inventory!A327)</f>
        <v>0</v>
      </c>
      <c r="C327" s="8">
        <f>SUMIFS('Stock In-Out'!D:D,'Stock In-Out'!B:B,"In",'Stock In-Out'!A:A,Inventory!A327)</f>
        <v>0</v>
      </c>
      <c r="D327" s="8">
        <f>SUMIFS('Stock In-Out'!D:D,'Stock In-Out'!B:B,"Out",'Stock In-Out'!A:A,Inventory!A327)</f>
        <v>0</v>
      </c>
      <c r="E327" s="8">
        <f t="shared" si="6"/>
        <v>0</v>
      </c>
      <c r="F327" s="8" t="str">
        <f>IFERROR(VLOOKUP(A327,'Product Master'!D:N,10,0)*E327,"")</f>
        <v/>
      </c>
      <c r="G327" s="9" t="str">
        <f>IFERROR(VLOOKUP(A327,'Product Master'!D:N,11,0)*E327,"")</f>
        <v/>
      </c>
      <c r="H327" s="8">
        <f>SUMIFS('Product Master'!G:G,'Product Master'!D:D,Inventory!A327)+SUMIFS('Stock In-Out'!I:I,'Stock In-Out'!A:A,Inventory!A327)-SUMIFS('Stock In-Out'!J:J,'Stock In-Out'!A:A,Inventory!A327)</f>
        <v>0</v>
      </c>
      <c r="I327" s="8">
        <f>SUMIFS('Product Master'!H:H,'Product Master'!D:D,Inventory!A327)+SUMIFS('Stock In-Out'!K:K,'Stock In-Out'!A:A,Inventory!A327)-SUMIFS('Stock In-Out'!L:L,'Stock In-Out'!A:A,Inventory!A327)</f>
        <v>0</v>
      </c>
      <c r="J327" s="8">
        <f>SUMIFS('Product Master'!I:I,'Product Master'!D:D,Inventory!A327)+SUMIFS('Stock In-Out'!M:M,'Stock In-Out'!A:A,Inventory!A327)-SUMIFS('Stock In-Out'!N:N,'Stock In-Out'!A:A,Inventory!A327)</f>
        <v>0</v>
      </c>
      <c r="K327" s="8" t="str">
        <f>IFERROR(VLOOKUP(A327,'Product Master'!D:N,7,0),"")</f>
        <v/>
      </c>
      <c r="L327" s="6" t="str">
        <f>IFERROR(VLOOKUP(A327,'Product Master'!D324:F20323,3,0),"")</f>
        <v/>
      </c>
    </row>
    <row r="328" spans="1:12" x14ac:dyDescent="0.2">
      <c r="A328" s="1"/>
      <c r="B328" s="8">
        <f>SUMIFS('Stock In-Out'!D:D,'Stock In-Out'!B:B,"Opening Stock",'Stock In-Out'!A:A,Inventory!A328)</f>
        <v>0</v>
      </c>
      <c r="C328" s="8">
        <f>SUMIFS('Stock In-Out'!D:D,'Stock In-Out'!B:B,"In",'Stock In-Out'!A:A,Inventory!A328)</f>
        <v>0</v>
      </c>
      <c r="D328" s="8">
        <f>SUMIFS('Stock In-Out'!D:D,'Stock In-Out'!B:B,"Out",'Stock In-Out'!A:A,Inventory!A328)</f>
        <v>0</v>
      </c>
      <c r="E328" s="8">
        <f t="shared" si="6"/>
        <v>0</v>
      </c>
      <c r="F328" s="8" t="str">
        <f>IFERROR(VLOOKUP(A328,'Product Master'!D:N,10,0)*E328,"")</f>
        <v/>
      </c>
      <c r="G328" s="9" t="str">
        <f>IFERROR(VLOOKUP(A328,'Product Master'!D:N,11,0)*E328,"")</f>
        <v/>
      </c>
      <c r="H328" s="8">
        <f>SUMIFS('Product Master'!G:G,'Product Master'!D:D,Inventory!A328)+SUMIFS('Stock In-Out'!I:I,'Stock In-Out'!A:A,Inventory!A328)-SUMIFS('Stock In-Out'!J:J,'Stock In-Out'!A:A,Inventory!A328)</f>
        <v>0</v>
      </c>
      <c r="I328" s="8">
        <f>SUMIFS('Product Master'!H:H,'Product Master'!D:D,Inventory!A328)+SUMIFS('Stock In-Out'!K:K,'Stock In-Out'!A:A,Inventory!A328)-SUMIFS('Stock In-Out'!L:L,'Stock In-Out'!A:A,Inventory!A328)</f>
        <v>0</v>
      </c>
      <c r="J328" s="8">
        <f>SUMIFS('Product Master'!I:I,'Product Master'!D:D,Inventory!A328)+SUMIFS('Stock In-Out'!M:M,'Stock In-Out'!A:A,Inventory!A328)-SUMIFS('Stock In-Out'!N:N,'Stock In-Out'!A:A,Inventory!A328)</f>
        <v>0</v>
      </c>
      <c r="K328" s="8" t="str">
        <f>IFERROR(VLOOKUP(A328,'Product Master'!D:N,7,0),"")</f>
        <v/>
      </c>
      <c r="L328" s="6" t="str">
        <f>IFERROR(VLOOKUP(A328,'Product Master'!D325:F20324,3,0),"")</f>
        <v/>
      </c>
    </row>
    <row r="329" spans="1:12" x14ac:dyDescent="0.2">
      <c r="A329" s="1"/>
      <c r="B329" s="8">
        <f>SUMIFS('Stock In-Out'!D:D,'Stock In-Out'!B:B,"Opening Stock",'Stock In-Out'!A:A,Inventory!A329)</f>
        <v>0</v>
      </c>
      <c r="C329" s="8">
        <f>SUMIFS('Stock In-Out'!D:D,'Stock In-Out'!B:B,"In",'Stock In-Out'!A:A,Inventory!A329)</f>
        <v>0</v>
      </c>
      <c r="D329" s="8">
        <f>SUMIFS('Stock In-Out'!D:D,'Stock In-Out'!B:B,"Out",'Stock In-Out'!A:A,Inventory!A329)</f>
        <v>0</v>
      </c>
      <c r="E329" s="8">
        <f t="shared" si="6"/>
        <v>0</v>
      </c>
      <c r="F329" s="8" t="str">
        <f>IFERROR(VLOOKUP(A329,'Product Master'!D:N,10,0)*E329,"")</f>
        <v/>
      </c>
      <c r="G329" s="9" t="str">
        <f>IFERROR(VLOOKUP(A329,'Product Master'!D:N,11,0)*E329,"")</f>
        <v/>
      </c>
      <c r="H329" s="8">
        <f>SUMIFS('Product Master'!G:G,'Product Master'!D:D,Inventory!A329)+SUMIFS('Stock In-Out'!I:I,'Stock In-Out'!A:A,Inventory!A329)-SUMIFS('Stock In-Out'!J:J,'Stock In-Out'!A:A,Inventory!A329)</f>
        <v>0</v>
      </c>
      <c r="I329" s="8">
        <f>SUMIFS('Product Master'!H:H,'Product Master'!D:D,Inventory!A329)+SUMIFS('Stock In-Out'!K:K,'Stock In-Out'!A:A,Inventory!A329)-SUMIFS('Stock In-Out'!L:L,'Stock In-Out'!A:A,Inventory!A329)</f>
        <v>0</v>
      </c>
      <c r="J329" s="8">
        <f>SUMIFS('Product Master'!I:I,'Product Master'!D:D,Inventory!A329)+SUMIFS('Stock In-Out'!M:M,'Stock In-Out'!A:A,Inventory!A329)-SUMIFS('Stock In-Out'!N:N,'Stock In-Out'!A:A,Inventory!A329)</f>
        <v>0</v>
      </c>
      <c r="K329" s="8" t="str">
        <f>IFERROR(VLOOKUP(A329,'Product Master'!D:N,7,0),"")</f>
        <v/>
      </c>
      <c r="L329" s="6" t="str">
        <f>IFERROR(VLOOKUP(A329,'Product Master'!D326:F20325,3,0),"")</f>
        <v/>
      </c>
    </row>
    <row r="330" spans="1:12" x14ac:dyDescent="0.2">
      <c r="A330" s="1"/>
      <c r="B330" s="8">
        <f>SUMIFS('Stock In-Out'!D:D,'Stock In-Out'!B:B,"Opening Stock",'Stock In-Out'!A:A,Inventory!A330)</f>
        <v>0</v>
      </c>
      <c r="C330" s="8">
        <f>SUMIFS('Stock In-Out'!D:D,'Stock In-Out'!B:B,"In",'Stock In-Out'!A:A,Inventory!A330)</f>
        <v>0</v>
      </c>
      <c r="D330" s="8">
        <f>SUMIFS('Stock In-Out'!D:D,'Stock In-Out'!B:B,"Out",'Stock In-Out'!A:A,Inventory!A330)</f>
        <v>0</v>
      </c>
      <c r="E330" s="8">
        <f t="shared" si="6"/>
        <v>0</v>
      </c>
      <c r="F330" s="8" t="str">
        <f>IFERROR(VLOOKUP(A330,'Product Master'!D:N,10,0)*E330,"")</f>
        <v/>
      </c>
      <c r="G330" s="9" t="str">
        <f>IFERROR(VLOOKUP(A330,'Product Master'!D:N,11,0)*E330,"")</f>
        <v/>
      </c>
      <c r="H330" s="8">
        <f>SUMIFS('Product Master'!G:G,'Product Master'!D:D,Inventory!A330)+SUMIFS('Stock In-Out'!I:I,'Stock In-Out'!A:A,Inventory!A330)-SUMIFS('Stock In-Out'!J:J,'Stock In-Out'!A:A,Inventory!A330)</f>
        <v>0</v>
      </c>
      <c r="I330" s="8">
        <f>SUMIFS('Product Master'!H:H,'Product Master'!D:D,Inventory!A330)+SUMIFS('Stock In-Out'!K:K,'Stock In-Out'!A:A,Inventory!A330)-SUMIFS('Stock In-Out'!L:L,'Stock In-Out'!A:A,Inventory!A330)</f>
        <v>0</v>
      </c>
      <c r="J330" s="8">
        <f>SUMIFS('Product Master'!I:I,'Product Master'!D:D,Inventory!A330)+SUMIFS('Stock In-Out'!M:M,'Stock In-Out'!A:A,Inventory!A330)-SUMIFS('Stock In-Out'!N:N,'Stock In-Out'!A:A,Inventory!A330)</f>
        <v>0</v>
      </c>
      <c r="K330" s="8" t="str">
        <f>IFERROR(VLOOKUP(A330,'Product Master'!D:N,7,0),"")</f>
        <v/>
      </c>
      <c r="L330" s="6" t="str">
        <f>IFERROR(VLOOKUP(A330,'Product Master'!D327:F20326,3,0),"")</f>
        <v/>
      </c>
    </row>
    <row r="331" spans="1:12" x14ac:dyDescent="0.2">
      <c r="A331" s="1"/>
      <c r="B331" s="8">
        <f>SUMIFS('Stock In-Out'!D:D,'Stock In-Out'!B:B,"Opening Stock",'Stock In-Out'!A:A,Inventory!A331)</f>
        <v>0</v>
      </c>
      <c r="C331" s="8">
        <f>SUMIFS('Stock In-Out'!D:D,'Stock In-Out'!B:B,"In",'Stock In-Out'!A:A,Inventory!A331)</f>
        <v>0</v>
      </c>
      <c r="D331" s="8">
        <f>SUMIFS('Stock In-Out'!D:D,'Stock In-Out'!B:B,"Out",'Stock In-Out'!A:A,Inventory!A331)</f>
        <v>0</v>
      </c>
      <c r="E331" s="8">
        <f t="shared" si="6"/>
        <v>0</v>
      </c>
      <c r="F331" s="8" t="str">
        <f>IFERROR(VLOOKUP(A331,'Product Master'!D:N,10,0)*E331,"")</f>
        <v/>
      </c>
      <c r="G331" s="9" t="str">
        <f>IFERROR(VLOOKUP(A331,'Product Master'!D:N,11,0)*E331,"")</f>
        <v/>
      </c>
      <c r="H331" s="8">
        <f>SUMIFS('Product Master'!G:G,'Product Master'!D:D,Inventory!A331)+SUMIFS('Stock In-Out'!I:I,'Stock In-Out'!A:A,Inventory!A331)-SUMIFS('Stock In-Out'!J:J,'Stock In-Out'!A:A,Inventory!A331)</f>
        <v>0</v>
      </c>
      <c r="I331" s="8">
        <f>SUMIFS('Product Master'!H:H,'Product Master'!D:D,Inventory!A331)+SUMIFS('Stock In-Out'!K:K,'Stock In-Out'!A:A,Inventory!A331)-SUMIFS('Stock In-Out'!L:L,'Stock In-Out'!A:A,Inventory!A331)</f>
        <v>0</v>
      </c>
      <c r="J331" s="8">
        <f>SUMIFS('Product Master'!I:I,'Product Master'!D:D,Inventory!A331)+SUMIFS('Stock In-Out'!M:M,'Stock In-Out'!A:A,Inventory!A331)-SUMIFS('Stock In-Out'!N:N,'Stock In-Out'!A:A,Inventory!A331)</f>
        <v>0</v>
      </c>
      <c r="K331" s="8" t="str">
        <f>IFERROR(VLOOKUP(A331,'Product Master'!D:N,7,0),"")</f>
        <v/>
      </c>
      <c r="L331" s="6" t="str">
        <f>IFERROR(VLOOKUP(A331,'Product Master'!D328:F20327,3,0),"")</f>
        <v/>
      </c>
    </row>
    <row r="332" spans="1:12" x14ac:dyDescent="0.2">
      <c r="A332" s="1"/>
      <c r="B332" s="8">
        <f>SUMIFS('Stock In-Out'!D:D,'Stock In-Out'!B:B,"Opening Stock",'Stock In-Out'!A:A,Inventory!A332)</f>
        <v>0</v>
      </c>
      <c r="C332" s="8">
        <f>SUMIFS('Stock In-Out'!D:D,'Stock In-Out'!B:B,"In",'Stock In-Out'!A:A,Inventory!A332)</f>
        <v>0</v>
      </c>
      <c r="D332" s="8">
        <f>SUMIFS('Stock In-Out'!D:D,'Stock In-Out'!B:B,"Out",'Stock In-Out'!A:A,Inventory!A332)</f>
        <v>0</v>
      </c>
      <c r="E332" s="8">
        <f t="shared" si="6"/>
        <v>0</v>
      </c>
      <c r="F332" s="8" t="str">
        <f>IFERROR(VLOOKUP(A332,'Product Master'!D:N,10,0)*E332,"")</f>
        <v/>
      </c>
      <c r="G332" s="9" t="str">
        <f>IFERROR(VLOOKUP(A332,'Product Master'!D:N,11,0)*E332,"")</f>
        <v/>
      </c>
      <c r="H332" s="8">
        <f>SUMIFS('Product Master'!G:G,'Product Master'!D:D,Inventory!A332)+SUMIFS('Stock In-Out'!I:I,'Stock In-Out'!A:A,Inventory!A332)-SUMIFS('Stock In-Out'!J:J,'Stock In-Out'!A:A,Inventory!A332)</f>
        <v>0</v>
      </c>
      <c r="I332" s="8">
        <f>SUMIFS('Product Master'!H:H,'Product Master'!D:D,Inventory!A332)+SUMIFS('Stock In-Out'!K:K,'Stock In-Out'!A:A,Inventory!A332)-SUMIFS('Stock In-Out'!L:L,'Stock In-Out'!A:A,Inventory!A332)</f>
        <v>0</v>
      </c>
      <c r="J332" s="8">
        <f>SUMIFS('Product Master'!I:I,'Product Master'!D:D,Inventory!A332)+SUMIFS('Stock In-Out'!M:M,'Stock In-Out'!A:A,Inventory!A332)-SUMIFS('Stock In-Out'!N:N,'Stock In-Out'!A:A,Inventory!A332)</f>
        <v>0</v>
      </c>
      <c r="K332" s="8" t="str">
        <f>IFERROR(VLOOKUP(A332,'Product Master'!D:N,7,0),"")</f>
        <v/>
      </c>
      <c r="L332" s="6" t="str">
        <f>IFERROR(VLOOKUP(A332,'Product Master'!D329:F20328,3,0),"")</f>
        <v/>
      </c>
    </row>
    <row r="333" spans="1:12" x14ac:dyDescent="0.2">
      <c r="A333" s="1"/>
      <c r="B333" s="8">
        <f>SUMIFS('Stock In-Out'!D:D,'Stock In-Out'!B:B,"Opening Stock",'Stock In-Out'!A:A,Inventory!A333)</f>
        <v>0</v>
      </c>
      <c r="C333" s="8">
        <f>SUMIFS('Stock In-Out'!D:D,'Stock In-Out'!B:B,"In",'Stock In-Out'!A:A,Inventory!A333)</f>
        <v>0</v>
      </c>
      <c r="D333" s="8">
        <f>SUMIFS('Stock In-Out'!D:D,'Stock In-Out'!B:B,"Out",'Stock In-Out'!A:A,Inventory!A333)</f>
        <v>0</v>
      </c>
      <c r="E333" s="8">
        <f t="shared" si="6"/>
        <v>0</v>
      </c>
      <c r="F333" s="8" t="str">
        <f>IFERROR(VLOOKUP(A333,'Product Master'!D:N,10,0)*E333,"")</f>
        <v/>
      </c>
      <c r="G333" s="9" t="str">
        <f>IFERROR(VLOOKUP(A333,'Product Master'!D:N,11,0)*E333,"")</f>
        <v/>
      </c>
      <c r="H333" s="8">
        <f>SUMIFS('Product Master'!G:G,'Product Master'!D:D,Inventory!A333)+SUMIFS('Stock In-Out'!I:I,'Stock In-Out'!A:A,Inventory!A333)-SUMIFS('Stock In-Out'!J:J,'Stock In-Out'!A:A,Inventory!A333)</f>
        <v>0</v>
      </c>
      <c r="I333" s="8">
        <f>SUMIFS('Product Master'!H:H,'Product Master'!D:D,Inventory!A333)+SUMIFS('Stock In-Out'!K:K,'Stock In-Out'!A:A,Inventory!A333)-SUMIFS('Stock In-Out'!L:L,'Stock In-Out'!A:A,Inventory!A333)</f>
        <v>0</v>
      </c>
      <c r="J333" s="8">
        <f>SUMIFS('Product Master'!I:I,'Product Master'!D:D,Inventory!A333)+SUMIFS('Stock In-Out'!M:M,'Stock In-Out'!A:A,Inventory!A333)-SUMIFS('Stock In-Out'!N:N,'Stock In-Out'!A:A,Inventory!A333)</f>
        <v>0</v>
      </c>
      <c r="K333" s="8" t="str">
        <f>IFERROR(VLOOKUP(A333,'Product Master'!D:N,7,0),"")</f>
        <v/>
      </c>
      <c r="L333" s="6" t="str">
        <f>IFERROR(VLOOKUP(A333,'Product Master'!D330:F20329,3,0),"")</f>
        <v/>
      </c>
    </row>
    <row r="334" spans="1:12" x14ac:dyDescent="0.2">
      <c r="A334" s="1"/>
      <c r="B334" s="8">
        <f>SUMIFS('Stock In-Out'!D:D,'Stock In-Out'!B:B,"Opening Stock",'Stock In-Out'!A:A,Inventory!A334)</f>
        <v>0</v>
      </c>
      <c r="C334" s="8">
        <f>SUMIFS('Stock In-Out'!D:D,'Stock In-Out'!B:B,"In",'Stock In-Out'!A:A,Inventory!A334)</f>
        <v>0</v>
      </c>
      <c r="D334" s="8">
        <f>SUMIFS('Stock In-Out'!D:D,'Stock In-Out'!B:B,"Out",'Stock In-Out'!A:A,Inventory!A334)</f>
        <v>0</v>
      </c>
      <c r="E334" s="8">
        <f t="shared" si="6"/>
        <v>0</v>
      </c>
      <c r="F334" s="8" t="str">
        <f>IFERROR(VLOOKUP(A334,'Product Master'!D:N,10,0)*E334,"")</f>
        <v/>
      </c>
      <c r="G334" s="9" t="str">
        <f>IFERROR(VLOOKUP(A334,'Product Master'!D:N,11,0)*E334,"")</f>
        <v/>
      </c>
      <c r="H334" s="8">
        <f>SUMIFS('Product Master'!G:G,'Product Master'!D:D,Inventory!A334)+SUMIFS('Stock In-Out'!I:I,'Stock In-Out'!A:A,Inventory!A334)-SUMIFS('Stock In-Out'!J:J,'Stock In-Out'!A:A,Inventory!A334)</f>
        <v>0</v>
      </c>
      <c r="I334" s="8">
        <f>SUMIFS('Product Master'!H:H,'Product Master'!D:D,Inventory!A334)+SUMIFS('Stock In-Out'!K:K,'Stock In-Out'!A:A,Inventory!A334)-SUMIFS('Stock In-Out'!L:L,'Stock In-Out'!A:A,Inventory!A334)</f>
        <v>0</v>
      </c>
      <c r="J334" s="8">
        <f>SUMIFS('Product Master'!I:I,'Product Master'!D:D,Inventory!A334)+SUMIFS('Stock In-Out'!M:M,'Stock In-Out'!A:A,Inventory!A334)-SUMIFS('Stock In-Out'!N:N,'Stock In-Out'!A:A,Inventory!A334)</f>
        <v>0</v>
      </c>
      <c r="K334" s="8" t="str">
        <f>IFERROR(VLOOKUP(A334,'Product Master'!D:N,7,0),"")</f>
        <v/>
      </c>
      <c r="L334" s="6" t="str">
        <f>IFERROR(VLOOKUP(A334,'Product Master'!D331:F20330,3,0),"")</f>
        <v/>
      </c>
    </row>
    <row r="335" spans="1:12" x14ac:dyDescent="0.2">
      <c r="A335" s="1"/>
      <c r="B335" s="8">
        <f>SUMIFS('Stock In-Out'!D:D,'Stock In-Out'!B:B,"Opening Stock",'Stock In-Out'!A:A,Inventory!A335)</f>
        <v>0</v>
      </c>
      <c r="C335" s="8">
        <f>SUMIFS('Stock In-Out'!D:D,'Stock In-Out'!B:B,"In",'Stock In-Out'!A:A,Inventory!A335)</f>
        <v>0</v>
      </c>
      <c r="D335" s="8">
        <f>SUMIFS('Stock In-Out'!D:D,'Stock In-Out'!B:B,"Out",'Stock In-Out'!A:A,Inventory!A335)</f>
        <v>0</v>
      </c>
      <c r="E335" s="8">
        <f t="shared" si="6"/>
        <v>0</v>
      </c>
      <c r="F335" s="8" t="str">
        <f>IFERROR(VLOOKUP(A335,'Product Master'!D:N,10,0)*E335,"")</f>
        <v/>
      </c>
      <c r="G335" s="9" t="str">
        <f>IFERROR(VLOOKUP(A335,'Product Master'!D:N,11,0)*E335,"")</f>
        <v/>
      </c>
      <c r="H335" s="8">
        <f>SUMIFS('Product Master'!G:G,'Product Master'!D:D,Inventory!A335)+SUMIFS('Stock In-Out'!I:I,'Stock In-Out'!A:A,Inventory!A335)-SUMIFS('Stock In-Out'!J:J,'Stock In-Out'!A:A,Inventory!A335)</f>
        <v>0</v>
      </c>
      <c r="I335" s="8">
        <f>SUMIFS('Product Master'!H:H,'Product Master'!D:D,Inventory!A335)+SUMIFS('Stock In-Out'!K:K,'Stock In-Out'!A:A,Inventory!A335)-SUMIFS('Stock In-Out'!L:L,'Stock In-Out'!A:A,Inventory!A335)</f>
        <v>0</v>
      </c>
      <c r="J335" s="8">
        <f>SUMIFS('Product Master'!I:I,'Product Master'!D:D,Inventory!A335)+SUMIFS('Stock In-Out'!M:M,'Stock In-Out'!A:A,Inventory!A335)-SUMIFS('Stock In-Out'!N:N,'Stock In-Out'!A:A,Inventory!A335)</f>
        <v>0</v>
      </c>
      <c r="K335" s="8" t="str">
        <f>IFERROR(VLOOKUP(A335,'Product Master'!D:N,7,0),"")</f>
        <v/>
      </c>
      <c r="L335" s="6" t="str">
        <f>IFERROR(VLOOKUP(A335,'Product Master'!D332:F20331,3,0),"")</f>
        <v/>
      </c>
    </row>
    <row r="336" spans="1:12" x14ac:dyDescent="0.2">
      <c r="A336" s="1"/>
      <c r="B336" s="8">
        <f>SUMIFS('Stock In-Out'!D:D,'Stock In-Out'!B:B,"Opening Stock",'Stock In-Out'!A:A,Inventory!A336)</f>
        <v>0</v>
      </c>
      <c r="C336" s="8">
        <f>SUMIFS('Stock In-Out'!D:D,'Stock In-Out'!B:B,"In",'Stock In-Out'!A:A,Inventory!A336)</f>
        <v>0</v>
      </c>
      <c r="D336" s="8">
        <f>SUMIFS('Stock In-Out'!D:D,'Stock In-Out'!B:B,"Out",'Stock In-Out'!A:A,Inventory!A336)</f>
        <v>0</v>
      </c>
      <c r="E336" s="8">
        <f t="shared" si="6"/>
        <v>0</v>
      </c>
      <c r="F336" s="8" t="str">
        <f>IFERROR(VLOOKUP(A336,'Product Master'!D:N,10,0)*E336,"")</f>
        <v/>
      </c>
      <c r="G336" s="9" t="str">
        <f>IFERROR(VLOOKUP(A336,'Product Master'!D:N,11,0)*E336,"")</f>
        <v/>
      </c>
      <c r="H336" s="8">
        <f>SUMIFS('Product Master'!G:G,'Product Master'!D:D,Inventory!A336)+SUMIFS('Stock In-Out'!I:I,'Stock In-Out'!A:A,Inventory!A336)-SUMIFS('Stock In-Out'!J:J,'Stock In-Out'!A:A,Inventory!A336)</f>
        <v>0</v>
      </c>
      <c r="I336" s="8">
        <f>SUMIFS('Product Master'!H:H,'Product Master'!D:D,Inventory!A336)+SUMIFS('Stock In-Out'!K:K,'Stock In-Out'!A:A,Inventory!A336)-SUMIFS('Stock In-Out'!L:L,'Stock In-Out'!A:A,Inventory!A336)</f>
        <v>0</v>
      </c>
      <c r="J336" s="8">
        <f>SUMIFS('Product Master'!I:I,'Product Master'!D:D,Inventory!A336)+SUMIFS('Stock In-Out'!M:M,'Stock In-Out'!A:A,Inventory!A336)-SUMIFS('Stock In-Out'!N:N,'Stock In-Out'!A:A,Inventory!A336)</f>
        <v>0</v>
      </c>
      <c r="K336" s="8" t="str">
        <f>IFERROR(VLOOKUP(A336,'Product Master'!D:N,7,0),"")</f>
        <v/>
      </c>
      <c r="L336" s="6" t="str">
        <f>IFERROR(VLOOKUP(A336,'Product Master'!D333:F20332,3,0),"")</f>
        <v/>
      </c>
    </row>
    <row r="337" spans="1:12" x14ac:dyDescent="0.2">
      <c r="A337" s="1"/>
      <c r="B337" s="8">
        <f>SUMIFS('Stock In-Out'!D:D,'Stock In-Out'!B:B,"Opening Stock",'Stock In-Out'!A:A,Inventory!A337)</f>
        <v>0</v>
      </c>
      <c r="C337" s="8">
        <f>SUMIFS('Stock In-Out'!D:D,'Stock In-Out'!B:B,"In",'Stock In-Out'!A:A,Inventory!A337)</f>
        <v>0</v>
      </c>
      <c r="D337" s="8">
        <f>SUMIFS('Stock In-Out'!D:D,'Stock In-Out'!B:B,"Out",'Stock In-Out'!A:A,Inventory!A337)</f>
        <v>0</v>
      </c>
      <c r="E337" s="8">
        <f t="shared" si="6"/>
        <v>0</v>
      </c>
      <c r="F337" s="8" t="str">
        <f>IFERROR(VLOOKUP(A337,'Product Master'!D:N,10,0)*E337,"")</f>
        <v/>
      </c>
      <c r="G337" s="9" t="str">
        <f>IFERROR(VLOOKUP(A337,'Product Master'!D:N,11,0)*E337,"")</f>
        <v/>
      </c>
      <c r="H337" s="8">
        <f>SUMIFS('Product Master'!G:G,'Product Master'!D:D,Inventory!A337)+SUMIFS('Stock In-Out'!I:I,'Stock In-Out'!A:A,Inventory!A337)-SUMIFS('Stock In-Out'!J:J,'Stock In-Out'!A:A,Inventory!A337)</f>
        <v>0</v>
      </c>
      <c r="I337" s="8">
        <f>SUMIFS('Product Master'!H:H,'Product Master'!D:D,Inventory!A337)+SUMIFS('Stock In-Out'!K:K,'Stock In-Out'!A:A,Inventory!A337)-SUMIFS('Stock In-Out'!L:L,'Stock In-Out'!A:A,Inventory!A337)</f>
        <v>0</v>
      </c>
      <c r="J337" s="8">
        <f>SUMIFS('Product Master'!I:I,'Product Master'!D:D,Inventory!A337)+SUMIFS('Stock In-Out'!M:M,'Stock In-Out'!A:A,Inventory!A337)-SUMIFS('Stock In-Out'!N:N,'Stock In-Out'!A:A,Inventory!A337)</f>
        <v>0</v>
      </c>
      <c r="K337" s="8" t="str">
        <f>IFERROR(VLOOKUP(A337,'Product Master'!D:N,7,0),"")</f>
        <v/>
      </c>
      <c r="L337" s="6" t="str">
        <f>IFERROR(VLOOKUP(A337,'Product Master'!D334:F20333,3,0),"")</f>
        <v/>
      </c>
    </row>
    <row r="338" spans="1:12" x14ac:dyDescent="0.2">
      <c r="A338" s="1"/>
      <c r="B338" s="8">
        <f>SUMIFS('Stock In-Out'!D:D,'Stock In-Out'!B:B,"Opening Stock",'Stock In-Out'!A:A,Inventory!A338)</f>
        <v>0</v>
      </c>
      <c r="C338" s="8">
        <f>SUMIFS('Stock In-Out'!D:D,'Stock In-Out'!B:B,"In",'Stock In-Out'!A:A,Inventory!A338)</f>
        <v>0</v>
      </c>
      <c r="D338" s="8">
        <f>SUMIFS('Stock In-Out'!D:D,'Stock In-Out'!B:B,"Out",'Stock In-Out'!A:A,Inventory!A338)</f>
        <v>0</v>
      </c>
      <c r="E338" s="8">
        <f t="shared" si="6"/>
        <v>0</v>
      </c>
      <c r="F338" s="8" t="str">
        <f>IFERROR(VLOOKUP(A338,'Product Master'!D:N,10,0)*E338,"")</f>
        <v/>
      </c>
      <c r="G338" s="9" t="str">
        <f>IFERROR(VLOOKUP(A338,'Product Master'!D:N,11,0)*E338,"")</f>
        <v/>
      </c>
      <c r="H338" s="8">
        <f>SUMIFS('Product Master'!G:G,'Product Master'!D:D,Inventory!A338)+SUMIFS('Stock In-Out'!I:I,'Stock In-Out'!A:A,Inventory!A338)-SUMIFS('Stock In-Out'!J:J,'Stock In-Out'!A:A,Inventory!A338)</f>
        <v>0</v>
      </c>
      <c r="I338" s="8">
        <f>SUMIFS('Product Master'!H:H,'Product Master'!D:D,Inventory!A338)+SUMIFS('Stock In-Out'!K:K,'Stock In-Out'!A:A,Inventory!A338)-SUMIFS('Stock In-Out'!L:L,'Stock In-Out'!A:A,Inventory!A338)</f>
        <v>0</v>
      </c>
      <c r="J338" s="8">
        <f>SUMIFS('Product Master'!I:I,'Product Master'!D:D,Inventory!A338)+SUMIFS('Stock In-Out'!M:M,'Stock In-Out'!A:A,Inventory!A338)-SUMIFS('Stock In-Out'!N:N,'Stock In-Out'!A:A,Inventory!A338)</f>
        <v>0</v>
      </c>
      <c r="K338" s="8" t="str">
        <f>IFERROR(VLOOKUP(A338,'Product Master'!D:N,7,0),"")</f>
        <v/>
      </c>
      <c r="L338" s="6" t="str">
        <f>IFERROR(VLOOKUP(A338,'Product Master'!D335:F20334,3,0),"")</f>
        <v/>
      </c>
    </row>
    <row r="339" spans="1:12" x14ac:dyDescent="0.2">
      <c r="A339" s="1"/>
      <c r="B339" s="8">
        <f>SUMIFS('Stock In-Out'!D:D,'Stock In-Out'!B:B,"Opening Stock",'Stock In-Out'!A:A,Inventory!A339)</f>
        <v>0</v>
      </c>
      <c r="C339" s="8">
        <f>SUMIFS('Stock In-Out'!D:D,'Stock In-Out'!B:B,"In",'Stock In-Out'!A:A,Inventory!A339)</f>
        <v>0</v>
      </c>
      <c r="D339" s="8">
        <f>SUMIFS('Stock In-Out'!D:D,'Stock In-Out'!B:B,"Out",'Stock In-Out'!A:A,Inventory!A339)</f>
        <v>0</v>
      </c>
      <c r="E339" s="8">
        <f t="shared" si="6"/>
        <v>0</v>
      </c>
      <c r="F339" s="8" t="str">
        <f>IFERROR(VLOOKUP(A339,'Product Master'!D:N,10,0)*E339,"")</f>
        <v/>
      </c>
      <c r="G339" s="9" t="str">
        <f>IFERROR(VLOOKUP(A339,'Product Master'!D:N,11,0)*E339,"")</f>
        <v/>
      </c>
      <c r="H339" s="8">
        <f>SUMIFS('Product Master'!G:G,'Product Master'!D:D,Inventory!A339)+SUMIFS('Stock In-Out'!I:I,'Stock In-Out'!A:A,Inventory!A339)-SUMIFS('Stock In-Out'!J:J,'Stock In-Out'!A:A,Inventory!A339)</f>
        <v>0</v>
      </c>
      <c r="I339" s="8">
        <f>SUMIFS('Product Master'!H:H,'Product Master'!D:D,Inventory!A339)+SUMIFS('Stock In-Out'!K:K,'Stock In-Out'!A:A,Inventory!A339)-SUMIFS('Stock In-Out'!L:L,'Stock In-Out'!A:A,Inventory!A339)</f>
        <v>0</v>
      </c>
      <c r="J339" s="8">
        <f>SUMIFS('Product Master'!I:I,'Product Master'!D:D,Inventory!A339)+SUMIFS('Stock In-Out'!M:M,'Stock In-Out'!A:A,Inventory!A339)-SUMIFS('Stock In-Out'!N:N,'Stock In-Out'!A:A,Inventory!A339)</f>
        <v>0</v>
      </c>
      <c r="K339" s="8" t="str">
        <f>IFERROR(VLOOKUP(A339,'Product Master'!D:N,7,0),"")</f>
        <v/>
      </c>
      <c r="L339" s="6" t="str">
        <f>IFERROR(VLOOKUP(A339,'Product Master'!D336:F20335,3,0),"")</f>
        <v/>
      </c>
    </row>
    <row r="340" spans="1:12" x14ac:dyDescent="0.2">
      <c r="A340" s="1"/>
      <c r="B340" s="8">
        <f>SUMIFS('Stock In-Out'!D:D,'Stock In-Out'!B:B,"Opening Stock",'Stock In-Out'!A:A,Inventory!A340)</f>
        <v>0</v>
      </c>
      <c r="C340" s="8">
        <f>SUMIFS('Stock In-Out'!D:D,'Stock In-Out'!B:B,"In",'Stock In-Out'!A:A,Inventory!A340)</f>
        <v>0</v>
      </c>
      <c r="D340" s="8">
        <f>SUMIFS('Stock In-Out'!D:D,'Stock In-Out'!B:B,"Out",'Stock In-Out'!A:A,Inventory!A340)</f>
        <v>0</v>
      </c>
      <c r="E340" s="8">
        <f t="shared" si="6"/>
        <v>0</v>
      </c>
      <c r="F340" s="8" t="str">
        <f>IFERROR(VLOOKUP(A340,'Product Master'!D:N,10,0)*E340,"")</f>
        <v/>
      </c>
      <c r="G340" s="9" t="str">
        <f>IFERROR(VLOOKUP(A340,'Product Master'!D:N,11,0)*E340,"")</f>
        <v/>
      </c>
      <c r="H340" s="8">
        <f>SUMIFS('Product Master'!G:G,'Product Master'!D:D,Inventory!A340)+SUMIFS('Stock In-Out'!I:I,'Stock In-Out'!A:A,Inventory!A340)-SUMIFS('Stock In-Out'!J:J,'Stock In-Out'!A:A,Inventory!A340)</f>
        <v>0</v>
      </c>
      <c r="I340" s="8">
        <f>SUMIFS('Product Master'!H:H,'Product Master'!D:D,Inventory!A340)+SUMIFS('Stock In-Out'!K:K,'Stock In-Out'!A:A,Inventory!A340)-SUMIFS('Stock In-Out'!L:L,'Stock In-Out'!A:A,Inventory!A340)</f>
        <v>0</v>
      </c>
      <c r="J340" s="8">
        <f>SUMIFS('Product Master'!I:I,'Product Master'!D:D,Inventory!A340)+SUMIFS('Stock In-Out'!M:M,'Stock In-Out'!A:A,Inventory!A340)-SUMIFS('Stock In-Out'!N:N,'Stock In-Out'!A:A,Inventory!A340)</f>
        <v>0</v>
      </c>
      <c r="K340" s="8" t="str">
        <f>IFERROR(VLOOKUP(A340,'Product Master'!D:N,7,0),"")</f>
        <v/>
      </c>
      <c r="L340" s="6" t="str">
        <f>IFERROR(VLOOKUP(A340,'Product Master'!D337:F20336,3,0),"")</f>
        <v/>
      </c>
    </row>
    <row r="341" spans="1:12" x14ac:dyDescent="0.2">
      <c r="A341" s="1"/>
      <c r="B341" s="8">
        <f>SUMIFS('Stock In-Out'!D:D,'Stock In-Out'!B:B,"Opening Stock",'Stock In-Out'!A:A,Inventory!A341)</f>
        <v>0</v>
      </c>
      <c r="C341" s="8">
        <f>SUMIFS('Stock In-Out'!D:D,'Stock In-Out'!B:B,"In",'Stock In-Out'!A:A,Inventory!A341)</f>
        <v>0</v>
      </c>
      <c r="D341" s="8">
        <f>SUMIFS('Stock In-Out'!D:D,'Stock In-Out'!B:B,"Out",'Stock In-Out'!A:A,Inventory!A341)</f>
        <v>0</v>
      </c>
      <c r="E341" s="8">
        <f t="shared" si="6"/>
        <v>0</v>
      </c>
      <c r="F341" s="8" t="str">
        <f>IFERROR(VLOOKUP(A341,'Product Master'!D:N,10,0)*E341,"")</f>
        <v/>
      </c>
      <c r="G341" s="9" t="str">
        <f>IFERROR(VLOOKUP(A341,'Product Master'!D:N,11,0)*E341,"")</f>
        <v/>
      </c>
      <c r="H341" s="8">
        <f>SUMIFS('Product Master'!G:G,'Product Master'!D:D,Inventory!A341)+SUMIFS('Stock In-Out'!I:I,'Stock In-Out'!A:A,Inventory!A341)-SUMIFS('Stock In-Out'!J:J,'Stock In-Out'!A:A,Inventory!A341)</f>
        <v>0</v>
      </c>
      <c r="I341" s="8">
        <f>SUMIFS('Product Master'!H:H,'Product Master'!D:D,Inventory!A341)+SUMIFS('Stock In-Out'!K:K,'Stock In-Out'!A:A,Inventory!A341)-SUMIFS('Stock In-Out'!L:L,'Stock In-Out'!A:A,Inventory!A341)</f>
        <v>0</v>
      </c>
      <c r="J341" s="8">
        <f>SUMIFS('Product Master'!I:I,'Product Master'!D:D,Inventory!A341)+SUMIFS('Stock In-Out'!M:M,'Stock In-Out'!A:A,Inventory!A341)-SUMIFS('Stock In-Out'!N:N,'Stock In-Out'!A:A,Inventory!A341)</f>
        <v>0</v>
      </c>
      <c r="K341" s="8" t="str">
        <f>IFERROR(VLOOKUP(A341,'Product Master'!D:N,7,0),"")</f>
        <v/>
      </c>
      <c r="L341" s="6" t="str">
        <f>IFERROR(VLOOKUP(A341,'Product Master'!D338:F20337,3,0),"")</f>
        <v/>
      </c>
    </row>
    <row r="342" spans="1:12" x14ac:dyDescent="0.2">
      <c r="A342" s="1"/>
      <c r="B342" s="8">
        <f>SUMIFS('Stock In-Out'!D:D,'Stock In-Out'!B:B,"Opening Stock",'Stock In-Out'!A:A,Inventory!A342)</f>
        <v>0</v>
      </c>
      <c r="C342" s="8">
        <f>SUMIFS('Stock In-Out'!D:D,'Stock In-Out'!B:B,"In",'Stock In-Out'!A:A,Inventory!A342)</f>
        <v>0</v>
      </c>
      <c r="D342" s="8">
        <f>SUMIFS('Stock In-Out'!D:D,'Stock In-Out'!B:B,"Out",'Stock In-Out'!A:A,Inventory!A342)</f>
        <v>0</v>
      </c>
      <c r="E342" s="8">
        <f t="shared" si="6"/>
        <v>0</v>
      </c>
      <c r="F342" s="8" t="str">
        <f>IFERROR(VLOOKUP(A342,'Product Master'!D:N,10,0)*E342,"")</f>
        <v/>
      </c>
      <c r="G342" s="9" t="str">
        <f>IFERROR(VLOOKUP(A342,'Product Master'!D:N,11,0)*E342,"")</f>
        <v/>
      </c>
      <c r="H342" s="8">
        <f>SUMIFS('Product Master'!G:G,'Product Master'!D:D,Inventory!A342)+SUMIFS('Stock In-Out'!I:I,'Stock In-Out'!A:A,Inventory!A342)-SUMIFS('Stock In-Out'!J:J,'Stock In-Out'!A:A,Inventory!A342)</f>
        <v>0</v>
      </c>
      <c r="I342" s="8">
        <f>SUMIFS('Product Master'!H:H,'Product Master'!D:D,Inventory!A342)+SUMIFS('Stock In-Out'!K:K,'Stock In-Out'!A:A,Inventory!A342)-SUMIFS('Stock In-Out'!L:L,'Stock In-Out'!A:A,Inventory!A342)</f>
        <v>0</v>
      </c>
      <c r="J342" s="8">
        <f>SUMIFS('Product Master'!I:I,'Product Master'!D:D,Inventory!A342)+SUMIFS('Stock In-Out'!M:M,'Stock In-Out'!A:A,Inventory!A342)-SUMIFS('Stock In-Out'!N:N,'Stock In-Out'!A:A,Inventory!A342)</f>
        <v>0</v>
      </c>
      <c r="K342" s="8" t="str">
        <f>IFERROR(VLOOKUP(A342,'Product Master'!D:N,7,0),"")</f>
        <v/>
      </c>
      <c r="L342" s="6" t="str">
        <f>IFERROR(VLOOKUP(A342,'Product Master'!D339:F20338,3,0),"")</f>
        <v/>
      </c>
    </row>
    <row r="343" spans="1:12" x14ac:dyDescent="0.2">
      <c r="A343" s="1"/>
      <c r="B343" s="8">
        <f>SUMIFS('Stock In-Out'!D:D,'Stock In-Out'!B:B,"Opening Stock",'Stock In-Out'!A:A,Inventory!A343)</f>
        <v>0</v>
      </c>
      <c r="C343" s="8">
        <f>SUMIFS('Stock In-Out'!D:D,'Stock In-Out'!B:B,"In",'Stock In-Out'!A:A,Inventory!A343)</f>
        <v>0</v>
      </c>
      <c r="D343" s="8">
        <f>SUMIFS('Stock In-Out'!D:D,'Stock In-Out'!B:B,"Out",'Stock In-Out'!A:A,Inventory!A343)</f>
        <v>0</v>
      </c>
      <c r="E343" s="8">
        <f t="shared" si="6"/>
        <v>0</v>
      </c>
      <c r="F343" s="8" t="str">
        <f>IFERROR(VLOOKUP(A343,'Product Master'!D:N,10,0)*E343,"")</f>
        <v/>
      </c>
      <c r="G343" s="9" t="str">
        <f>IFERROR(VLOOKUP(A343,'Product Master'!D:N,11,0)*E343,"")</f>
        <v/>
      </c>
      <c r="H343" s="8">
        <f>SUMIFS('Product Master'!G:G,'Product Master'!D:D,Inventory!A343)+SUMIFS('Stock In-Out'!I:I,'Stock In-Out'!A:A,Inventory!A343)-SUMIFS('Stock In-Out'!J:J,'Stock In-Out'!A:A,Inventory!A343)</f>
        <v>0</v>
      </c>
      <c r="I343" s="8">
        <f>SUMIFS('Product Master'!H:H,'Product Master'!D:D,Inventory!A343)+SUMIFS('Stock In-Out'!K:K,'Stock In-Out'!A:A,Inventory!A343)-SUMIFS('Stock In-Out'!L:L,'Stock In-Out'!A:A,Inventory!A343)</f>
        <v>0</v>
      </c>
      <c r="J343" s="8">
        <f>SUMIFS('Product Master'!I:I,'Product Master'!D:D,Inventory!A343)+SUMIFS('Stock In-Out'!M:M,'Stock In-Out'!A:A,Inventory!A343)-SUMIFS('Stock In-Out'!N:N,'Stock In-Out'!A:A,Inventory!A343)</f>
        <v>0</v>
      </c>
      <c r="K343" s="8" t="str">
        <f>IFERROR(VLOOKUP(A343,'Product Master'!D:N,7,0),"")</f>
        <v/>
      </c>
      <c r="L343" s="6" t="str">
        <f>IFERROR(VLOOKUP(A343,'Product Master'!D340:F20339,3,0),"")</f>
        <v/>
      </c>
    </row>
    <row r="344" spans="1:12" x14ac:dyDescent="0.2">
      <c r="A344" s="1"/>
      <c r="B344" s="8">
        <f>SUMIFS('Stock In-Out'!D:D,'Stock In-Out'!B:B,"Opening Stock",'Stock In-Out'!A:A,Inventory!A344)</f>
        <v>0</v>
      </c>
      <c r="C344" s="8">
        <f>SUMIFS('Stock In-Out'!D:D,'Stock In-Out'!B:B,"In",'Stock In-Out'!A:A,Inventory!A344)</f>
        <v>0</v>
      </c>
      <c r="D344" s="8">
        <f>SUMIFS('Stock In-Out'!D:D,'Stock In-Out'!B:B,"Out",'Stock In-Out'!A:A,Inventory!A344)</f>
        <v>0</v>
      </c>
      <c r="E344" s="8">
        <f t="shared" si="6"/>
        <v>0</v>
      </c>
      <c r="F344" s="8" t="str">
        <f>IFERROR(VLOOKUP(A344,'Product Master'!D:N,10,0)*E344,"")</f>
        <v/>
      </c>
      <c r="G344" s="9" t="str">
        <f>IFERROR(VLOOKUP(A344,'Product Master'!D:N,11,0)*E344,"")</f>
        <v/>
      </c>
      <c r="H344" s="8">
        <f>SUMIFS('Product Master'!G:G,'Product Master'!D:D,Inventory!A344)+SUMIFS('Stock In-Out'!I:I,'Stock In-Out'!A:A,Inventory!A344)-SUMIFS('Stock In-Out'!J:J,'Stock In-Out'!A:A,Inventory!A344)</f>
        <v>0</v>
      </c>
      <c r="I344" s="8">
        <f>SUMIFS('Product Master'!H:H,'Product Master'!D:D,Inventory!A344)+SUMIFS('Stock In-Out'!K:K,'Stock In-Out'!A:A,Inventory!A344)-SUMIFS('Stock In-Out'!L:L,'Stock In-Out'!A:A,Inventory!A344)</f>
        <v>0</v>
      </c>
      <c r="J344" s="8">
        <f>SUMIFS('Product Master'!I:I,'Product Master'!D:D,Inventory!A344)+SUMIFS('Stock In-Out'!M:M,'Stock In-Out'!A:A,Inventory!A344)-SUMIFS('Stock In-Out'!N:N,'Stock In-Out'!A:A,Inventory!A344)</f>
        <v>0</v>
      </c>
      <c r="K344" s="8" t="str">
        <f>IFERROR(VLOOKUP(A344,'Product Master'!D:N,7,0),"")</f>
        <v/>
      </c>
      <c r="L344" s="6" t="str">
        <f>IFERROR(VLOOKUP(A344,'Product Master'!D341:F20340,3,0),"")</f>
        <v/>
      </c>
    </row>
    <row r="345" spans="1:12" x14ac:dyDescent="0.2">
      <c r="A345" s="1"/>
      <c r="B345" s="8">
        <f>SUMIFS('Stock In-Out'!D:D,'Stock In-Out'!B:B,"Opening Stock",'Stock In-Out'!A:A,Inventory!A345)</f>
        <v>0</v>
      </c>
      <c r="C345" s="8">
        <f>SUMIFS('Stock In-Out'!D:D,'Stock In-Out'!B:B,"In",'Stock In-Out'!A:A,Inventory!A345)</f>
        <v>0</v>
      </c>
      <c r="D345" s="8">
        <f>SUMIFS('Stock In-Out'!D:D,'Stock In-Out'!B:B,"Out",'Stock In-Out'!A:A,Inventory!A345)</f>
        <v>0</v>
      </c>
      <c r="E345" s="8">
        <f t="shared" si="6"/>
        <v>0</v>
      </c>
      <c r="F345" s="8" t="str">
        <f>IFERROR(VLOOKUP(A345,'Product Master'!D:N,10,0)*E345,"")</f>
        <v/>
      </c>
      <c r="G345" s="9" t="str">
        <f>IFERROR(VLOOKUP(A345,'Product Master'!D:N,11,0)*E345,"")</f>
        <v/>
      </c>
      <c r="H345" s="8">
        <f>SUMIFS('Product Master'!G:G,'Product Master'!D:D,Inventory!A345)+SUMIFS('Stock In-Out'!I:I,'Stock In-Out'!A:A,Inventory!A345)-SUMIFS('Stock In-Out'!J:J,'Stock In-Out'!A:A,Inventory!A345)</f>
        <v>0</v>
      </c>
      <c r="I345" s="8">
        <f>SUMIFS('Product Master'!H:H,'Product Master'!D:D,Inventory!A345)+SUMIFS('Stock In-Out'!K:K,'Stock In-Out'!A:A,Inventory!A345)-SUMIFS('Stock In-Out'!L:L,'Stock In-Out'!A:A,Inventory!A345)</f>
        <v>0</v>
      </c>
      <c r="J345" s="8">
        <f>SUMIFS('Product Master'!I:I,'Product Master'!D:D,Inventory!A345)+SUMIFS('Stock In-Out'!M:M,'Stock In-Out'!A:A,Inventory!A345)-SUMIFS('Stock In-Out'!N:N,'Stock In-Out'!A:A,Inventory!A345)</f>
        <v>0</v>
      </c>
      <c r="K345" s="8" t="str">
        <f>IFERROR(VLOOKUP(A345,'Product Master'!D:N,7,0),"")</f>
        <v/>
      </c>
      <c r="L345" s="6" t="str">
        <f>IFERROR(VLOOKUP(A345,'Product Master'!D342:F20341,3,0),"")</f>
        <v/>
      </c>
    </row>
    <row r="346" spans="1:12" x14ac:dyDescent="0.2">
      <c r="A346" s="1"/>
      <c r="B346" s="8">
        <f>SUMIFS('Stock In-Out'!D:D,'Stock In-Out'!B:B,"Opening Stock",'Stock In-Out'!A:A,Inventory!A346)</f>
        <v>0</v>
      </c>
      <c r="C346" s="8">
        <f>SUMIFS('Stock In-Out'!D:D,'Stock In-Out'!B:B,"In",'Stock In-Out'!A:A,Inventory!A346)</f>
        <v>0</v>
      </c>
      <c r="D346" s="8">
        <f>SUMIFS('Stock In-Out'!D:D,'Stock In-Out'!B:B,"Out",'Stock In-Out'!A:A,Inventory!A346)</f>
        <v>0</v>
      </c>
      <c r="E346" s="8">
        <f t="shared" si="6"/>
        <v>0</v>
      </c>
      <c r="F346" s="8" t="str">
        <f>IFERROR(VLOOKUP(A346,'Product Master'!D:N,10,0)*E346,"")</f>
        <v/>
      </c>
      <c r="G346" s="9" t="str">
        <f>IFERROR(VLOOKUP(A346,'Product Master'!D:N,11,0)*E346,"")</f>
        <v/>
      </c>
      <c r="H346" s="8">
        <f>SUMIFS('Product Master'!G:G,'Product Master'!D:D,Inventory!A346)+SUMIFS('Stock In-Out'!I:I,'Stock In-Out'!A:A,Inventory!A346)-SUMIFS('Stock In-Out'!J:J,'Stock In-Out'!A:A,Inventory!A346)</f>
        <v>0</v>
      </c>
      <c r="I346" s="8">
        <f>SUMIFS('Product Master'!H:H,'Product Master'!D:D,Inventory!A346)+SUMIFS('Stock In-Out'!K:K,'Stock In-Out'!A:A,Inventory!A346)-SUMIFS('Stock In-Out'!L:L,'Stock In-Out'!A:A,Inventory!A346)</f>
        <v>0</v>
      </c>
      <c r="J346" s="8">
        <f>SUMIFS('Product Master'!I:I,'Product Master'!D:D,Inventory!A346)+SUMIFS('Stock In-Out'!M:M,'Stock In-Out'!A:A,Inventory!A346)-SUMIFS('Stock In-Out'!N:N,'Stock In-Out'!A:A,Inventory!A346)</f>
        <v>0</v>
      </c>
      <c r="K346" s="8" t="str">
        <f>IFERROR(VLOOKUP(A346,'Product Master'!D:N,7,0),"")</f>
        <v/>
      </c>
      <c r="L346" s="6" t="str">
        <f>IFERROR(VLOOKUP(A346,'Product Master'!D343:F20342,3,0),"")</f>
        <v/>
      </c>
    </row>
    <row r="347" spans="1:12" x14ac:dyDescent="0.2">
      <c r="A347" s="1"/>
      <c r="B347" s="8">
        <f>SUMIFS('Stock In-Out'!D:D,'Stock In-Out'!B:B,"Opening Stock",'Stock In-Out'!A:A,Inventory!A347)</f>
        <v>0</v>
      </c>
      <c r="C347" s="8">
        <f>SUMIFS('Stock In-Out'!D:D,'Stock In-Out'!B:B,"In",'Stock In-Out'!A:A,Inventory!A347)</f>
        <v>0</v>
      </c>
      <c r="D347" s="8">
        <f>SUMIFS('Stock In-Out'!D:D,'Stock In-Out'!B:B,"Out",'Stock In-Out'!A:A,Inventory!A347)</f>
        <v>0</v>
      </c>
      <c r="E347" s="8">
        <f t="shared" si="6"/>
        <v>0</v>
      </c>
      <c r="F347" s="8" t="str">
        <f>IFERROR(VLOOKUP(A347,'Product Master'!D:N,10,0)*E347,"")</f>
        <v/>
      </c>
      <c r="G347" s="9" t="str">
        <f>IFERROR(VLOOKUP(A347,'Product Master'!D:N,11,0)*E347,"")</f>
        <v/>
      </c>
      <c r="H347" s="8">
        <f>SUMIFS('Product Master'!G:G,'Product Master'!D:D,Inventory!A347)+SUMIFS('Stock In-Out'!I:I,'Stock In-Out'!A:A,Inventory!A347)-SUMIFS('Stock In-Out'!J:J,'Stock In-Out'!A:A,Inventory!A347)</f>
        <v>0</v>
      </c>
      <c r="I347" s="8">
        <f>SUMIFS('Product Master'!H:H,'Product Master'!D:D,Inventory!A347)+SUMIFS('Stock In-Out'!K:K,'Stock In-Out'!A:A,Inventory!A347)-SUMIFS('Stock In-Out'!L:L,'Stock In-Out'!A:A,Inventory!A347)</f>
        <v>0</v>
      </c>
      <c r="J347" s="8">
        <f>SUMIFS('Product Master'!I:I,'Product Master'!D:D,Inventory!A347)+SUMIFS('Stock In-Out'!M:M,'Stock In-Out'!A:A,Inventory!A347)-SUMIFS('Stock In-Out'!N:N,'Stock In-Out'!A:A,Inventory!A347)</f>
        <v>0</v>
      </c>
      <c r="K347" s="8" t="str">
        <f>IFERROR(VLOOKUP(A347,'Product Master'!D:N,7,0),"")</f>
        <v/>
      </c>
      <c r="L347" s="6" t="str">
        <f>IFERROR(VLOOKUP(A347,'Product Master'!D344:F20343,3,0),"")</f>
        <v/>
      </c>
    </row>
    <row r="348" spans="1:12" x14ac:dyDescent="0.2">
      <c r="A348" s="1"/>
      <c r="B348" s="8">
        <f>SUMIFS('Stock In-Out'!D:D,'Stock In-Out'!B:B,"Opening Stock",'Stock In-Out'!A:A,Inventory!A348)</f>
        <v>0</v>
      </c>
      <c r="C348" s="8">
        <f>SUMIFS('Stock In-Out'!D:D,'Stock In-Out'!B:B,"In",'Stock In-Out'!A:A,Inventory!A348)</f>
        <v>0</v>
      </c>
      <c r="D348" s="8">
        <f>SUMIFS('Stock In-Out'!D:D,'Stock In-Out'!B:B,"Out",'Stock In-Out'!A:A,Inventory!A348)</f>
        <v>0</v>
      </c>
      <c r="E348" s="8">
        <f t="shared" si="6"/>
        <v>0</v>
      </c>
      <c r="F348" s="8" t="str">
        <f>IFERROR(VLOOKUP(A348,'Product Master'!D:N,10,0)*E348,"")</f>
        <v/>
      </c>
      <c r="G348" s="9" t="str">
        <f>IFERROR(VLOOKUP(A348,'Product Master'!D:N,11,0)*E348,"")</f>
        <v/>
      </c>
      <c r="H348" s="8">
        <f>SUMIFS('Product Master'!G:G,'Product Master'!D:D,Inventory!A348)+SUMIFS('Stock In-Out'!I:I,'Stock In-Out'!A:A,Inventory!A348)-SUMIFS('Stock In-Out'!J:J,'Stock In-Out'!A:A,Inventory!A348)</f>
        <v>0</v>
      </c>
      <c r="I348" s="8">
        <f>SUMIFS('Product Master'!H:H,'Product Master'!D:D,Inventory!A348)+SUMIFS('Stock In-Out'!K:K,'Stock In-Out'!A:A,Inventory!A348)-SUMIFS('Stock In-Out'!L:L,'Stock In-Out'!A:A,Inventory!A348)</f>
        <v>0</v>
      </c>
      <c r="J348" s="8">
        <f>SUMIFS('Product Master'!I:I,'Product Master'!D:D,Inventory!A348)+SUMIFS('Stock In-Out'!M:M,'Stock In-Out'!A:A,Inventory!A348)-SUMIFS('Stock In-Out'!N:N,'Stock In-Out'!A:A,Inventory!A348)</f>
        <v>0</v>
      </c>
      <c r="K348" s="8" t="str">
        <f>IFERROR(VLOOKUP(A348,'Product Master'!D:N,7,0),"")</f>
        <v/>
      </c>
      <c r="L348" s="6" t="str">
        <f>IFERROR(VLOOKUP(A348,'Product Master'!D345:F20344,3,0),"")</f>
        <v/>
      </c>
    </row>
    <row r="349" spans="1:12" x14ac:dyDescent="0.2">
      <c r="A349" s="1"/>
      <c r="B349" s="8">
        <f>SUMIFS('Stock In-Out'!D:D,'Stock In-Out'!B:B,"Opening Stock",'Stock In-Out'!A:A,Inventory!A349)</f>
        <v>0</v>
      </c>
      <c r="C349" s="8">
        <f>SUMIFS('Stock In-Out'!D:D,'Stock In-Out'!B:B,"In",'Stock In-Out'!A:A,Inventory!A349)</f>
        <v>0</v>
      </c>
      <c r="D349" s="8">
        <f>SUMIFS('Stock In-Out'!D:D,'Stock In-Out'!B:B,"Out",'Stock In-Out'!A:A,Inventory!A349)</f>
        <v>0</v>
      </c>
      <c r="E349" s="8">
        <f t="shared" si="6"/>
        <v>0</v>
      </c>
      <c r="F349" s="8" t="str">
        <f>IFERROR(VLOOKUP(A349,'Product Master'!D:N,10,0)*E349,"")</f>
        <v/>
      </c>
      <c r="G349" s="9" t="str">
        <f>IFERROR(VLOOKUP(A349,'Product Master'!D:N,11,0)*E349,"")</f>
        <v/>
      </c>
      <c r="H349" s="8">
        <f>SUMIFS('Product Master'!G:G,'Product Master'!D:D,Inventory!A349)+SUMIFS('Stock In-Out'!I:I,'Stock In-Out'!A:A,Inventory!A349)-SUMIFS('Stock In-Out'!J:J,'Stock In-Out'!A:A,Inventory!A349)</f>
        <v>0</v>
      </c>
      <c r="I349" s="8">
        <f>SUMIFS('Product Master'!H:H,'Product Master'!D:D,Inventory!A349)+SUMIFS('Stock In-Out'!K:K,'Stock In-Out'!A:A,Inventory!A349)-SUMIFS('Stock In-Out'!L:L,'Stock In-Out'!A:A,Inventory!A349)</f>
        <v>0</v>
      </c>
      <c r="J349" s="8">
        <f>SUMIFS('Product Master'!I:I,'Product Master'!D:D,Inventory!A349)+SUMIFS('Stock In-Out'!M:M,'Stock In-Out'!A:A,Inventory!A349)-SUMIFS('Stock In-Out'!N:N,'Stock In-Out'!A:A,Inventory!A349)</f>
        <v>0</v>
      </c>
      <c r="K349" s="8" t="str">
        <f>IFERROR(VLOOKUP(A349,'Product Master'!D:N,7,0),"")</f>
        <v/>
      </c>
      <c r="L349" s="6" t="str">
        <f>IFERROR(VLOOKUP(A349,'Product Master'!D346:F20345,3,0),"")</f>
        <v/>
      </c>
    </row>
    <row r="350" spans="1:12" x14ac:dyDescent="0.2">
      <c r="A350" s="1"/>
      <c r="B350" s="8">
        <f>SUMIFS('Stock In-Out'!D:D,'Stock In-Out'!B:B,"Opening Stock",'Stock In-Out'!A:A,Inventory!A350)</f>
        <v>0</v>
      </c>
      <c r="C350" s="8">
        <f>SUMIFS('Stock In-Out'!D:D,'Stock In-Out'!B:B,"In",'Stock In-Out'!A:A,Inventory!A350)</f>
        <v>0</v>
      </c>
      <c r="D350" s="8">
        <f>SUMIFS('Stock In-Out'!D:D,'Stock In-Out'!B:B,"Out",'Stock In-Out'!A:A,Inventory!A350)</f>
        <v>0</v>
      </c>
      <c r="E350" s="8">
        <f t="shared" si="6"/>
        <v>0</v>
      </c>
      <c r="F350" s="8" t="str">
        <f>IFERROR(VLOOKUP(A350,'Product Master'!D:N,10,0)*E350,"")</f>
        <v/>
      </c>
      <c r="G350" s="9" t="str">
        <f>IFERROR(VLOOKUP(A350,'Product Master'!D:N,11,0)*E350,"")</f>
        <v/>
      </c>
      <c r="H350" s="8">
        <f>SUMIFS('Product Master'!G:G,'Product Master'!D:D,Inventory!A350)+SUMIFS('Stock In-Out'!I:I,'Stock In-Out'!A:A,Inventory!A350)-SUMIFS('Stock In-Out'!J:J,'Stock In-Out'!A:A,Inventory!A350)</f>
        <v>0</v>
      </c>
      <c r="I350" s="8">
        <f>SUMIFS('Product Master'!H:H,'Product Master'!D:D,Inventory!A350)+SUMIFS('Stock In-Out'!K:K,'Stock In-Out'!A:A,Inventory!A350)-SUMIFS('Stock In-Out'!L:L,'Stock In-Out'!A:A,Inventory!A350)</f>
        <v>0</v>
      </c>
      <c r="J350" s="8">
        <f>SUMIFS('Product Master'!I:I,'Product Master'!D:D,Inventory!A350)+SUMIFS('Stock In-Out'!M:M,'Stock In-Out'!A:A,Inventory!A350)-SUMIFS('Stock In-Out'!N:N,'Stock In-Out'!A:A,Inventory!A350)</f>
        <v>0</v>
      </c>
      <c r="K350" s="8" t="str">
        <f>IFERROR(VLOOKUP(A350,'Product Master'!D:N,7,0),"")</f>
        <v/>
      </c>
      <c r="L350" s="6" t="str">
        <f>IFERROR(VLOOKUP(A350,'Product Master'!D347:F20346,3,0),"")</f>
        <v/>
      </c>
    </row>
    <row r="351" spans="1:12" x14ac:dyDescent="0.2">
      <c r="A351" s="1"/>
      <c r="B351" s="8">
        <f>SUMIFS('Stock In-Out'!D:D,'Stock In-Out'!B:B,"Opening Stock",'Stock In-Out'!A:A,Inventory!A351)</f>
        <v>0</v>
      </c>
      <c r="C351" s="8">
        <f>SUMIFS('Stock In-Out'!D:D,'Stock In-Out'!B:B,"In",'Stock In-Out'!A:A,Inventory!A351)</f>
        <v>0</v>
      </c>
      <c r="D351" s="8">
        <f>SUMIFS('Stock In-Out'!D:D,'Stock In-Out'!B:B,"Out",'Stock In-Out'!A:A,Inventory!A351)</f>
        <v>0</v>
      </c>
      <c r="E351" s="8">
        <f t="shared" si="6"/>
        <v>0</v>
      </c>
      <c r="F351" s="8" t="str">
        <f>IFERROR(VLOOKUP(A351,'Product Master'!D:N,10,0)*E351,"")</f>
        <v/>
      </c>
      <c r="G351" s="9" t="str">
        <f>IFERROR(VLOOKUP(A351,'Product Master'!D:N,11,0)*E351,"")</f>
        <v/>
      </c>
      <c r="H351" s="8">
        <f>SUMIFS('Product Master'!G:G,'Product Master'!D:D,Inventory!A351)+SUMIFS('Stock In-Out'!I:I,'Stock In-Out'!A:A,Inventory!A351)-SUMIFS('Stock In-Out'!J:J,'Stock In-Out'!A:A,Inventory!A351)</f>
        <v>0</v>
      </c>
      <c r="I351" s="8">
        <f>SUMIFS('Product Master'!H:H,'Product Master'!D:D,Inventory!A351)+SUMIFS('Stock In-Out'!K:K,'Stock In-Out'!A:A,Inventory!A351)-SUMIFS('Stock In-Out'!L:L,'Stock In-Out'!A:A,Inventory!A351)</f>
        <v>0</v>
      </c>
      <c r="J351" s="8">
        <f>SUMIFS('Product Master'!I:I,'Product Master'!D:D,Inventory!A351)+SUMIFS('Stock In-Out'!M:M,'Stock In-Out'!A:A,Inventory!A351)-SUMIFS('Stock In-Out'!N:N,'Stock In-Out'!A:A,Inventory!A351)</f>
        <v>0</v>
      </c>
      <c r="K351" s="8" t="str">
        <f>IFERROR(VLOOKUP(A351,'Product Master'!D:N,7,0),"")</f>
        <v/>
      </c>
      <c r="L351" s="6" t="str">
        <f>IFERROR(VLOOKUP(A351,'Product Master'!D348:F20347,3,0),"")</f>
        <v/>
      </c>
    </row>
    <row r="352" spans="1:12" x14ac:dyDescent="0.2">
      <c r="A352" s="1"/>
      <c r="B352" s="8">
        <f>SUMIFS('Stock In-Out'!D:D,'Stock In-Out'!B:B,"Opening Stock",'Stock In-Out'!A:A,Inventory!A352)</f>
        <v>0</v>
      </c>
      <c r="C352" s="8">
        <f>SUMIFS('Stock In-Out'!D:D,'Stock In-Out'!B:B,"In",'Stock In-Out'!A:A,Inventory!A352)</f>
        <v>0</v>
      </c>
      <c r="D352" s="8">
        <f>SUMIFS('Stock In-Out'!D:D,'Stock In-Out'!B:B,"Out",'Stock In-Out'!A:A,Inventory!A352)</f>
        <v>0</v>
      </c>
      <c r="E352" s="8">
        <f t="shared" si="6"/>
        <v>0</v>
      </c>
      <c r="F352" s="8" t="str">
        <f>IFERROR(VLOOKUP(A352,'Product Master'!D:N,10,0)*E352,"")</f>
        <v/>
      </c>
      <c r="G352" s="9" t="str">
        <f>IFERROR(VLOOKUP(A352,'Product Master'!D:N,11,0)*E352,"")</f>
        <v/>
      </c>
      <c r="H352" s="8">
        <f>SUMIFS('Product Master'!G:G,'Product Master'!D:D,Inventory!A352)+SUMIFS('Stock In-Out'!I:I,'Stock In-Out'!A:A,Inventory!A352)-SUMIFS('Stock In-Out'!J:J,'Stock In-Out'!A:A,Inventory!A352)</f>
        <v>0</v>
      </c>
      <c r="I352" s="8">
        <f>SUMIFS('Product Master'!H:H,'Product Master'!D:D,Inventory!A352)+SUMIFS('Stock In-Out'!K:K,'Stock In-Out'!A:A,Inventory!A352)-SUMIFS('Stock In-Out'!L:L,'Stock In-Out'!A:A,Inventory!A352)</f>
        <v>0</v>
      </c>
      <c r="J352" s="8">
        <f>SUMIFS('Product Master'!I:I,'Product Master'!D:D,Inventory!A352)+SUMIFS('Stock In-Out'!M:M,'Stock In-Out'!A:A,Inventory!A352)-SUMIFS('Stock In-Out'!N:N,'Stock In-Out'!A:A,Inventory!A352)</f>
        <v>0</v>
      </c>
      <c r="K352" s="8" t="str">
        <f>IFERROR(VLOOKUP(A352,'Product Master'!D:N,7,0),"")</f>
        <v/>
      </c>
      <c r="L352" s="6" t="str">
        <f>IFERROR(VLOOKUP(A352,'Product Master'!D349:F20348,3,0),"")</f>
        <v/>
      </c>
    </row>
    <row r="353" spans="1:12" x14ac:dyDescent="0.2">
      <c r="A353" s="1"/>
      <c r="B353" s="8">
        <f>SUMIFS('Stock In-Out'!D:D,'Stock In-Out'!B:B,"Opening Stock",'Stock In-Out'!A:A,Inventory!A353)</f>
        <v>0</v>
      </c>
      <c r="C353" s="8">
        <f>SUMIFS('Stock In-Out'!D:D,'Stock In-Out'!B:B,"In",'Stock In-Out'!A:A,Inventory!A353)</f>
        <v>0</v>
      </c>
      <c r="D353" s="8">
        <f>SUMIFS('Stock In-Out'!D:D,'Stock In-Out'!B:B,"Out",'Stock In-Out'!A:A,Inventory!A353)</f>
        <v>0</v>
      </c>
      <c r="E353" s="8">
        <f t="shared" si="6"/>
        <v>0</v>
      </c>
      <c r="F353" s="8" t="str">
        <f>IFERROR(VLOOKUP(A353,'Product Master'!D:N,10,0)*E353,"")</f>
        <v/>
      </c>
      <c r="G353" s="9" t="str">
        <f>IFERROR(VLOOKUP(A353,'Product Master'!D:N,11,0)*E353,"")</f>
        <v/>
      </c>
      <c r="H353" s="8">
        <f>SUMIFS('Product Master'!G:G,'Product Master'!D:D,Inventory!A353)+SUMIFS('Stock In-Out'!I:I,'Stock In-Out'!A:A,Inventory!A353)-SUMIFS('Stock In-Out'!J:J,'Stock In-Out'!A:A,Inventory!A353)</f>
        <v>0</v>
      </c>
      <c r="I353" s="8">
        <f>SUMIFS('Product Master'!H:H,'Product Master'!D:D,Inventory!A353)+SUMIFS('Stock In-Out'!K:K,'Stock In-Out'!A:A,Inventory!A353)-SUMIFS('Stock In-Out'!L:L,'Stock In-Out'!A:A,Inventory!A353)</f>
        <v>0</v>
      </c>
      <c r="J353" s="8">
        <f>SUMIFS('Product Master'!I:I,'Product Master'!D:D,Inventory!A353)+SUMIFS('Stock In-Out'!M:M,'Stock In-Out'!A:A,Inventory!A353)-SUMIFS('Stock In-Out'!N:N,'Stock In-Out'!A:A,Inventory!A353)</f>
        <v>0</v>
      </c>
      <c r="K353" s="8" t="str">
        <f>IFERROR(VLOOKUP(A353,'Product Master'!D:N,7,0),"")</f>
        <v/>
      </c>
      <c r="L353" s="6" t="str">
        <f>IFERROR(VLOOKUP(A353,'Product Master'!D350:F20349,3,0),"")</f>
        <v/>
      </c>
    </row>
    <row r="354" spans="1:12" x14ac:dyDescent="0.2">
      <c r="A354" s="1"/>
      <c r="B354" s="8">
        <f>SUMIFS('Stock In-Out'!D:D,'Stock In-Out'!B:B,"Opening Stock",'Stock In-Out'!A:A,Inventory!A354)</f>
        <v>0</v>
      </c>
      <c r="C354" s="8">
        <f>SUMIFS('Stock In-Out'!D:D,'Stock In-Out'!B:B,"In",'Stock In-Out'!A:A,Inventory!A354)</f>
        <v>0</v>
      </c>
      <c r="D354" s="8">
        <f>SUMIFS('Stock In-Out'!D:D,'Stock In-Out'!B:B,"Out",'Stock In-Out'!A:A,Inventory!A354)</f>
        <v>0</v>
      </c>
      <c r="E354" s="8">
        <f t="shared" si="6"/>
        <v>0</v>
      </c>
      <c r="F354" s="8" t="str">
        <f>IFERROR(VLOOKUP(A354,'Product Master'!D:N,10,0)*E354,"")</f>
        <v/>
      </c>
      <c r="G354" s="9" t="str">
        <f>IFERROR(VLOOKUP(A354,'Product Master'!D:N,11,0)*E354,"")</f>
        <v/>
      </c>
      <c r="H354" s="8">
        <f>SUMIFS('Product Master'!G:G,'Product Master'!D:D,Inventory!A354)+SUMIFS('Stock In-Out'!I:I,'Stock In-Out'!A:A,Inventory!A354)-SUMIFS('Stock In-Out'!J:J,'Stock In-Out'!A:A,Inventory!A354)</f>
        <v>0</v>
      </c>
      <c r="I354" s="8">
        <f>SUMIFS('Product Master'!H:H,'Product Master'!D:D,Inventory!A354)+SUMIFS('Stock In-Out'!K:K,'Stock In-Out'!A:A,Inventory!A354)-SUMIFS('Stock In-Out'!L:L,'Stock In-Out'!A:A,Inventory!A354)</f>
        <v>0</v>
      </c>
      <c r="J354" s="8">
        <f>SUMIFS('Product Master'!I:I,'Product Master'!D:D,Inventory!A354)+SUMIFS('Stock In-Out'!M:M,'Stock In-Out'!A:A,Inventory!A354)-SUMIFS('Stock In-Out'!N:N,'Stock In-Out'!A:A,Inventory!A354)</f>
        <v>0</v>
      </c>
      <c r="K354" s="8" t="str">
        <f>IFERROR(VLOOKUP(A354,'Product Master'!D:N,7,0),"")</f>
        <v/>
      </c>
      <c r="L354" s="6" t="str">
        <f>IFERROR(VLOOKUP(A354,'Product Master'!D351:F20350,3,0),"")</f>
        <v/>
      </c>
    </row>
    <row r="355" spans="1:12" x14ac:dyDescent="0.2">
      <c r="A355" s="1"/>
      <c r="B355" s="8">
        <f>SUMIFS('Stock In-Out'!D:D,'Stock In-Out'!B:B,"Opening Stock",'Stock In-Out'!A:A,Inventory!A355)</f>
        <v>0</v>
      </c>
      <c r="C355" s="8">
        <f>SUMIFS('Stock In-Out'!D:D,'Stock In-Out'!B:B,"In",'Stock In-Out'!A:A,Inventory!A355)</f>
        <v>0</v>
      </c>
      <c r="D355" s="8">
        <f>SUMIFS('Stock In-Out'!D:D,'Stock In-Out'!B:B,"Out",'Stock In-Out'!A:A,Inventory!A355)</f>
        <v>0</v>
      </c>
      <c r="E355" s="8">
        <f t="shared" si="6"/>
        <v>0</v>
      </c>
      <c r="F355" s="8" t="str">
        <f>IFERROR(VLOOKUP(A355,'Product Master'!D:N,10,0)*E355,"")</f>
        <v/>
      </c>
      <c r="G355" s="9" t="str">
        <f>IFERROR(VLOOKUP(A355,'Product Master'!D:N,11,0)*E355,"")</f>
        <v/>
      </c>
      <c r="H355" s="8">
        <f>SUMIFS('Product Master'!G:G,'Product Master'!D:D,Inventory!A355)+SUMIFS('Stock In-Out'!I:I,'Stock In-Out'!A:A,Inventory!A355)-SUMIFS('Stock In-Out'!J:J,'Stock In-Out'!A:A,Inventory!A355)</f>
        <v>0</v>
      </c>
      <c r="I355" s="8">
        <f>SUMIFS('Product Master'!H:H,'Product Master'!D:D,Inventory!A355)+SUMIFS('Stock In-Out'!K:K,'Stock In-Out'!A:A,Inventory!A355)-SUMIFS('Stock In-Out'!L:L,'Stock In-Out'!A:A,Inventory!A355)</f>
        <v>0</v>
      </c>
      <c r="J355" s="8">
        <f>SUMIFS('Product Master'!I:I,'Product Master'!D:D,Inventory!A355)+SUMIFS('Stock In-Out'!M:M,'Stock In-Out'!A:A,Inventory!A355)-SUMIFS('Stock In-Out'!N:N,'Stock In-Out'!A:A,Inventory!A355)</f>
        <v>0</v>
      </c>
      <c r="K355" s="8" t="str">
        <f>IFERROR(VLOOKUP(A355,'Product Master'!D:N,7,0),"")</f>
        <v/>
      </c>
      <c r="L355" s="6" t="str">
        <f>IFERROR(VLOOKUP(A355,'Product Master'!D352:F20351,3,0),"")</f>
        <v/>
      </c>
    </row>
    <row r="356" spans="1:12" x14ac:dyDescent="0.2">
      <c r="A356" s="1"/>
      <c r="B356" s="8">
        <f>SUMIFS('Stock In-Out'!D:D,'Stock In-Out'!B:B,"Opening Stock",'Stock In-Out'!A:A,Inventory!A356)</f>
        <v>0</v>
      </c>
      <c r="C356" s="8">
        <f>SUMIFS('Stock In-Out'!D:D,'Stock In-Out'!B:B,"In",'Stock In-Out'!A:A,Inventory!A356)</f>
        <v>0</v>
      </c>
      <c r="D356" s="8">
        <f>SUMIFS('Stock In-Out'!D:D,'Stock In-Out'!B:B,"Out",'Stock In-Out'!A:A,Inventory!A356)</f>
        <v>0</v>
      </c>
      <c r="E356" s="8">
        <f t="shared" si="6"/>
        <v>0</v>
      </c>
      <c r="F356" s="8" t="str">
        <f>IFERROR(VLOOKUP(A356,'Product Master'!D:N,10,0)*E356,"")</f>
        <v/>
      </c>
      <c r="G356" s="9" t="str">
        <f>IFERROR(VLOOKUP(A356,'Product Master'!D:N,11,0)*E356,"")</f>
        <v/>
      </c>
      <c r="H356" s="8">
        <f>SUMIFS('Product Master'!G:G,'Product Master'!D:D,Inventory!A356)+SUMIFS('Stock In-Out'!I:I,'Stock In-Out'!A:A,Inventory!A356)-SUMIFS('Stock In-Out'!J:J,'Stock In-Out'!A:A,Inventory!A356)</f>
        <v>0</v>
      </c>
      <c r="I356" s="8">
        <f>SUMIFS('Product Master'!H:H,'Product Master'!D:D,Inventory!A356)+SUMIFS('Stock In-Out'!K:K,'Stock In-Out'!A:A,Inventory!A356)-SUMIFS('Stock In-Out'!L:L,'Stock In-Out'!A:A,Inventory!A356)</f>
        <v>0</v>
      </c>
      <c r="J356" s="8">
        <f>SUMIFS('Product Master'!I:I,'Product Master'!D:D,Inventory!A356)+SUMIFS('Stock In-Out'!M:M,'Stock In-Out'!A:A,Inventory!A356)-SUMIFS('Stock In-Out'!N:N,'Stock In-Out'!A:A,Inventory!A356)</f>
        <v>0</v>
      </c>
      <c r="K356" s="8" t="str">
        <f>IFERROR(VLOOKUP(A356,'Product Master'!D:N,7,0),"")</f>
        <v/>
      </c>
      <c r="L356" s="6" t="str">
        <f>IFERROR(VLOOKUP(A356,'Product Master'!D353:F20352,3,0),"")</f>
        <v/>
      </c>
    </row>
    <row r="357" spans="1:12" x14ac:dyDescent="0.2">
      <c r="A357" s="1"/>
      <c r="B357" s="8">
        <f>SUMIFS('Stock In-Out'!D:D,'Stock In-Out'!B:B,"Opening Stock",'Stock In-Out'!A:A,Inventory!A357)</f>
        <v>0</v>
      </c>
      <c r="C357" s="8">
        <f>SUMIFS('Stock In-Out'!D:D,'Stock In-Out'!B:B,"In",'Stock In-Out'!A:A,Inventory!A357)</f>
        <v>0</v>
      </c>
      <c r="D357" s="8">
        <f>SUMIFS('Stock In-Out'!D:D,'Stock In-Out'!B:B,"Out",'Stock In-Out'!A:A,Inventory!A357)</f>
        <v>0</v>
      </c>
      <c r="E357" s="8">
        <f t="shared" si="6"/>
        <v>0</v>
      </c>
      <c r="F357" s="8" t="str">
        <f>IFERROR(VLOOKUP(A357,'Product Master'!D:N,10,0)*E357,"")</f>
        <v/>
      </c>
      <c r="G357" s="9" t="str">
        <f>IFERROR(VLOOKUP(A357,'Product Master'!D:N,11,0)*E357,"")</f>
        <v/>
      </c>
      <c r="H357" s="8">
        <f>SUMIFS('Product Master'!G:G,'Product Master'!D:D,Inventory!A357)+SUMIFS('Stock In-Out'!I:I,'Stock In-Out'!A:A,Inventory!A357)-SUMIFS('Stock In-Out'!J:J,'Stock In-Out'!A:A,Inventory!A357)</f>
        <v>0</v>
      </c>
      <c r="I357" s="8">
        <f>SUMIFS('Product Master'!H:H,'Product Master'!D:D,Inventory!A357)+SUMIFS('Stock In-Out'!K:K,'Stock In-Out'!A:A,Inventory!A357)-SUMIFS('Stock In-Out'!L:L,'Stock In-Out'!A:A,Inventory!A357)</f>
        <v>0</v>
      </c>
      <c r="J357" s="8">
        <f>SUMIFS('Product Master'!I:I,'Product Master'!D:D,Inventory!A357)+SUMIFS('Stock In-Out'!M:M,'Stock In-Out'!A:A,Inventory!A357)-SUMIFS('Stock In-Out'!N:N,'Stock In-Out'!A:A,Inventory!A357)</f>
        <v>0</v>
      </c>
      <c r="K357" s="8" t="str">
        <f>IFERROR(VLOOKUP(A357,'Product Master'!D:N,7,0),"")</f>
        <v/>
      </c>
      <c r="L357" s="6" t="str">
        <f>IFERROR(VLOOKUP(A357,'Product Master'!D354:F20353,3,0),"")</f>
        <v/>
      </c>
    </row>
    <row r="358" spans="1:12" x14ac:dyDescent="0.2">
      <c r="A358" s="1"/>
      <c r="B358" s="8">
        <f>SUMIFS('Stock In-Out'!D:D,'Stock In-Out'!B:B,"Opening Stock",'Stock In-Out'!A:A,Inventory!A358)</f>
        <v>0</v>
      </c>
      <c r="C358" s="8">
        <f>SUMIFS('Stock In-Out'!D:D,'Stock In-Out'!B:B,"In",'Stock In-Out'!A:A,Inventory!A358)</f>
        <v>0</v>
      </c>
      <c r="D358" s="8">
        <f>SUMIFS('Stock In-Out'!D:D,'Stock In-Out'!B:B,"Out",'Stock In-Out'!A:A,Inventory!A358)</f>
        <v>0</v>
      </c>
      <c r="E358" s="8">
        <f t="shared" si="6"/>
        <v>0</v>
      </c>
      <c r="F358" s="8" t="str">
        <f>IFERROR(VLOOKUP(A358,'Product Master'!D:N,10,0)*E358,"")</f>
        <v/>
      </c>
      <c r="G358" s="9" t="str">
        <f>IFERROR(VLOOKUP(A358,'Product Master'!D:N,11,0)*E358,"")</f>
        <v/>
      </c>
      <c r="H358" s="8">
        <f>SUMIFS('Product Master'!G:G,'Product Master'!D:D,Inventory!A358)+SUMIFS('Stock In-Out'!I:I,'Stock In-Out'!A:A,Inventory!A358)-SUMIFS('Stock In-Out'!J:J,'Stock In-Out'!A:A,Inventory!A358)</f>
        <v>0</v>
      </c>
      <c r="I358" s="8">
        <f>SUMIFS('Product Master'!H:H,'Product Master'!D:D,Inventory!A358)+SUMIFS('Stock In-Out'!K:K,'Stock In-Out'!A:A,Inventory!A358)-SUMIFS('Stock In-Out'!L:L,'Stock In-Out'!A:A,Inventory!A358)</f>
        <v>0</v>
      </c>
      <c r="J358" s="8">
        <f>SUMIFS('Product Master'!I:I,'Product Master'!D:D,Inventory!A358)+SUMIFS('Stock In-Out'!M:M,'Stock In-Out'!A:A,Inventory!A358)-SUMIFS('Stock In-Out'!N:N,'Stock In-Out'!A:A,Inventory!A358)</f>
        <v>0</v>
      </c>
      <c r="K358" s="8" t="str">
        <f>IFERROR(VLOOKUP(A358,'Product Master'!D:N,7,0),"")</f>
        <v/>
      </c>
      <c r="L358" s="6" t="str">
        <f>IFERROR(VLOOKUP(A358,'Product Master'!D355:F20354,3,0),"")</f>
        <v/>
      </c>
    </row>
    <row r="359" spans="1:12" x14ac:dyDescent="0.2">
      <c r="A359" s="1"/>
      <c r="B359" s="8">
        <f>SUMIFS('Stock In-Out'!D:D,'Stock In-Out'!B:B,"Opening Stock",'Stock In-Out'!A:A,Inventory!A359)</f>
        <v>0</v>
      </c>
      <c r="C359" s="8">
        <f>SUMIFS('Stock In-Out'!D:D,'Stock In-Out'!B:B,"In",'Stock In-Out'!A:A,Inventory!A359)</f>
        <v>0</v>
      </c>
      <c r="D359" s="8">
        <f>SUMIFS('Stock In-Out'!D:D,'Stock In-Out'!B:B,"Out",'Stock In-Out'!A:A,Inventory!A359)</f>
        <v>0</v>
      </c>
      <c r="E359" s="8">
        <f t="shared" si="6"/>
        <v>0</v>
      </c>
      <c r="F359" s="8" t="str">
        <f>IFERROR(VLOOKUP(A359,'Product Master'!D:N,10,0)*E359,"")</f>
        <v/>
      </c>
      <c r="G359" s="9" t="str">
        <f>IFERROR(VLOOKUP(A359,'Product Master'!D:N,11,0)*E359,"")</f>
        <v/>
      </c>
      <c r="H359" s="8">
        <f>SUMIFS('Product Master'!G:G,'Product Master'!D:D,Inventory!A359)+SUMIFS('Stock In-Out'!I:I,'Stock In-Out'!A:A,Inventory!A359)-SUMIFS('Stock In-Out'!J:J,'Stock In-Out'!A:A,Inventory!A359)</f>
        <v>0</v>
      </c>
      <c r="I359" s="8">
        <f>SUMIFS('Product Master'!H:H,'Product Master'!D:D,Inventory!A359)+SUMIFS('Stock In-Out'!K:K,'Stock In-Out'!A:A,Inventory!A359)-SUMIFS('Stock In-Out'!L:L,'Stock In-Out'!A:A,Inventory!A359)</f>
        <v>0</v>
      </c>
      <c r="J359" s="8">
        <f>SUMIFS('Product Master'!I:I,'Product Master'!D:D,Inventory!A359)+SUMIFS('Stock In-Out'!M:M,'Stock In-Out'!A:A,Inventory!A359)-SUMIFS('Stock In-Out'!N:N,'Stock In-Out'!A:A,Inventory!A359)</f>
        <v>0</v>
      </c>
      <c r="K359" s="8" t="str">
        <f>IFERROR(VLOOKUP(A359,'Product Master'!D:N,7,0),"")</f>
        <v/>
      </c>
      <c r="L359" s="6" t="str">
        <f>IFERROR(VLOOKUP(A359,'Product Master'!D356:F20355,3,0),"")</f>
        <v/>
      </c>
    </row>
    <row r="360" spans="1:12" x14ac:dyDescent="0.2">
      <c r="A360" s="1"/>
      <c r="B360" s="8">
        <f>SUMIFS('Stock In-Out'!D:D,'Stock In-Out'!B:B,"Opening Stock",'Stock In-Out'!A:A,Inventory!A360)</f>
        <v>0</v>
      </c>
      <c r="C360" s="8">
        <f>SUMIFS('Stock In-Out'!D:D,'Stock In-Out'!B:B,"In",'Stock In-Out'!A:A,Inventory!A360)</f>
        <v>0</v>
      </c>
      <c r="D360" s="8">
        <f>SUMIFS('Stock In-Out'!D:D,'Stock In-Out'!B:B,"Out",'Stock In-Out'!A:A,Inventory!A360)</f>
        <v>0</v>
      </c>
      <c r="E360" s="8">
        <f t="shared" si="6"/>
        <v>0</v>
      </c>
      <c r="F360" s="8" t="str">
        <f>IFERROR(VLOOKUP(A360,'Product Master'!D:N,10,0)*E360,"")</f>
        <v/>
      </c>
      <c r="G360" s="9" t="str">
        <f>IFERROR(VLOOKUP(A360,'Product Master'!D:N,11,0)*E360,"")</f>
        <v/>
      </c>
      <c r="H360" s="8">
        <f>SUMIFS('Product Master'!G:G,'Product Master'!D:D,Inventory!A360)+SUMIFS('Stock In-Out'!I:I,'Stock In-Out'!A:A,Inventory!A360)-SUMIFS('Stock In-Out'!J:J,'Stock In-Out'!A:A,Inventory!A360)</f>
        <v>0</v>
      </c>
      <c r="I360" s="8">
        <f>SUMIFS('Product Master'!H:H,'Product Master'!D:D,Inventory!A360)+SUMIFS('Stock In-Out'!K:K,'Stock In-Out'!A:A,Inventory!A360)-SUMIFS('Stock In-Out'!L:L,'Stock In-Out'!A:A,Inventory!A360)</f>
        <v>0</v>
      </c>
      <c r="J360" s="8">
        <f>SUMIFS('Product Master'!I:I,'Product Master'!D:D,Inventory!A360)+SUMIFS('Stock In-Out'!M:M,'Stock In-Out'!A:A,Inventory!A360)-SUMIFS('Stock In-Out'!N:N,'Stock In-Out'!A:A,Inventory!A360)</f>
        <v>0</v>
      </c>
      <c r="K360" s="8" t="str">
        <f>IFERROR(VLOOKUP(A360,'Product Master'!D:N,7,0),"")</f>
        <v/>
      </c>
      <c r="L360" s="6" t="str">
        <f>IFERROR(VLOOKUP(A360,'Product Master'!D357:F20356,3,0),"")</f>
        <v/>
      </c>
    </row>
    <row r="361" spans="1:12" x14ac:dyDescent="0.2">
      <c r="A361" s="1"/>
      <c r="B361" s="8">
        <f>SUMIFS('Stock In-Out'!D:D,'Stock In-Out'!B:B,"Opening Stock",'Stock In-Out'!A:A,Inventory!A361)</f>
        <v>0</v>
      </c>
      <c r="C361" s="8">
        <f>SUMIFS('Stock In-Out'!D:D,'Stock In-Out'!B:B,"In",'Stock In-Out'!A:A,Inventory!A361)</f>
        <v>0</v>
      </c>
      <c r="D361" s="8">
        <f>SUMIFS('Stock In-Out'!D:D,'Stock In-Out'!B:B,"Out",'Stock In-Out'!A:A,Inventory!A361)</f>
        <v>0</v>
      </c>
      <c r="E361" s="8">
        <f t="shared" si="6"/>
        <v>0</v>
      </c>
      <c r="F361" s="8" t="str">
        <f>IFERROR(VLOOKUP(A361,'Product Master'!D:N,10,0)*E361,"")</f>
        <v/>
      </c>
      <c r="G361" s="9" t="str">
        <f>IFERROR(VLOOKUP(A361,'Product Master'!D:N,11,0)*E361,"")</f>
        <v/>
      </c>
      <c r="H361" s="8">
        <f>SUMIFS('Product Master'!G:G,'Product Master'!D:D,Inventory!A361)+SUMIFS('Stock In-Out'!I:I,'Stock In-Out'!A:A,Inventory!A361)-SUMIFS('Stock In-Out'!J:J,'Stock In-Out'!A:A,Inventory!A361)</f>
        <v>0</v>
      </c>
      <c r="I361" s="8">
        <f>SUMIFS('Product Master'!H:H,'Product Master'!D:D,Inventory!A361)+SUMIFS('Stock In-Out'!K:K,'Stock In-Out'!A:A,Inventory!A361)-SUMIFS('Stock In-Out'!L:L,'Stock In-Out'!A:A,Inventory!A361)</f>
        <v>0</v>
      </c>
      <c r="J361" s="8">
        <f>SUMIFS('Product Master'!I:I,'Product Master'!D:D,Inventory!A361)+SUMIFS('Stock In-Out'!M:M,'Stock In-Out'!A:A,Inventory!A361)-SUMIFS('Stock In-Out'!N:N,'Stock In-Out'!A:A,Inventory!A361)</f>
        <v>0</v>
      </c>
      <c r="K361" s="8" t="str">
        <f>IFERROR(VLOOKUP(A361,'Product Master'!D:N,7,0),"")</f>
        <v/>
      </c>
      <c r="L361" s="6" t="str">
        <f>IFERROR(VLOOKUP(A361,'Product Master'!D358:F20357,3,0),"")</f>
        <v/>
      </c>
    </row>
    <row r="362" spans="1:12" x14ac:dyDescent="0.2">
      <c r="A362" s="1"/>
      <c r="B362" s="8">
        <f>SUMIFS('Stock In-Out'!D:D,'Stock In-Out'!B:B,"Opening Stock",'Stock In-Out'!A:A,Inventory!A362)</f>
        <v>0</v>
      </c>
      <c r="C362" s="8">
        <f>SUMIFS('Stock In-Out'!D:D,'Stock In-Out'!B:B,"In",'Stock In-Out'!A:A,Inventory!A362)</f>
        <v>0</v>
      </c>
      <c r="D362" s="8">
        <f>SUMIFS('Stock In-Out'!D:D,'Stock In-Out'!B:B,"Out",'Stock In-Out'!A:A,Inventory!A362)</f>
        <v>0</v>
      </c>
      <c r="E362" s="8">
        <f t="shared" si="6"/>
        <v>0</v>
      </c>
      <c r="F362" s="8" t="str">
        <f>IFERROR(VLOOKUP(A362,'Product Master'!D:N,10,0)*E362,"")</f>
        <v/>
      </c>
      <c r="G362" s="9" t="str">
        <f>IFERROR(VLOOKUP(A362,'Product Master'!D:N,11,0)*E362,"")</f>
        <v/>
      </c>
      <c r="H362" s="8">
        <f>SUMIFS('Product Master'!G:G,'Product Master'!D:D,Inventory!A362)+SUMIFS('Stock In-Out'!I:I,'Stock In-Out'!A:A,Inventory!A362)-SUMIFS('Stock In-Out'!J:J,'Stock In-Out'!A:A,Inventory!A362)</f>
        <v>0</v>
      </c>
      <c r="I362" s="8">
        <f>SUMIFS('Product Master'!H:H,'Product Master'!D:D,Inventory!A362)+SUMIFS('Stock In-Out'!K:K,'Stock In-Out'!A:A,Inventory!A362)-SUMIFS('Stock In-Out'!L:L,'Stock In-Out'!A:A,Inventory!A362)</f>
        <v>0</v>
      </c>
      <c r="J362" s="8">
        <f>SUMIFS('Product Master'!I:I,'Product Master'!D:D,Inventory!A362)+SUMIFS('Stock In-Out'!M:M,'Stock In-Out'!A:A,Inventory!A362)-SUMIFS('Stock In-Out'!N:N,'Stock In-Out'!A:A,Inventory!A362)</f>
        <v>0</v>
      </c>
      <c r="K362" s="8" t="str">
        <f>IFERROR(VLOOKUP(A362,'Product Master'!D:N,7,0),"")</f>
        <v/>
      </c>
      <c r="L362" s="6" t="str">
        <f>IFERROR(VLOOKUP(A362,'Product Master'!D359:F20358,3,0),"")</f>
        <v/>
      </c>
    </row>
    <row r="363" spans="1:12" x14ac:dyDescent="0.2">
      <c r="A363" s="1"/>
      <c r="B363" s="8">
        <f>SUMIFS('Stock In-Out'!D:D,'Stock In-Out'!B:B,"Opening Stock",'Stock In-Out'!A:A,Inventory!A363)</f>
        <v>0</v>
      </c>
      <c r="C363" s="8">
        <f>SUMIFS('Stock In-Out'!D:D,'Stock In-Out'!B:B,"In",'Stock In-Out'!A:A,Inventory!A363)</f>
        <v>0</v>
      </c>
      <c r="D363" s="8">
        <f>SUMIFS('Stock In-Out'!D:D,'Stock In-Out'!B:B,"Out",'Stock In-Out'!A:A,Inventory!A363)</f>
        <v>0</v>
      </c>
      <c r="E363" s="8">
        <f t="shared" si="6"/>
        <v>0</v>
      </c>
      <c r="F363" s="8" t="str">
        <f>IFERROR(VLOOKUP(A363,'Product Master'!D:N,10,0)*E363,"")</f>
        <v/>
      </c>
      <c r="G363" s="9" t="str">
        <f>IFERROR(VLOOKUP(A363,'Product Master'!D:N,11,0)*E363,"")</f>
        <v/>
      </c>
      <c r="H363" s="8">
        <f>SUMIFS('Product Master'!G:G,'Product Master'!D:D,Inventory!A363)+SUMIFS('Stock In-Out'!I:I,'Stock In-Out'!A:A,Inventory!A363)-SUMIFS('Stock In-Out'!J:J,'Stock In-Out'!A:A,Inventory!A363)</f>
        <v>0</v>
      </c>
      <c r="I363" s="8">
        <f>SUMIFS('Product Master'!H:H,'Product Master'!D:D,Inventory!A363)+SUMIFS('Stock In-Out'!K:K,'Stock In-Out'!A:A,Inventory!A363)-SUMIFS('Stock In-Out'!L:L,'Stock In-Out'!A:A,Inventory!A363)</f>
        <v>0</v>
      </c>
      <c r="J363" s="8">
        <f>SUMIFS('Product Master'!I:I,'Product Master'!D:D,Inventory!A363)+SUMIFS('Stock In-Out'!M:M,'Stock In-Out'!A:A,Inventory!A363)-SUMIFS('Stock In-Out'!N:N,'Stock In-Out'!A:A,Inventory!A363)</f>
        <v>0</v>
      </c>
      <c r="K363" s="8" t="str">
        <f>IFERROR(VLOOKUP(A363,'Product Master'!D:N,7,0),"")</f>
        <v/>
      </c>
      <c r="L363" s="6" t="str">
        <f>IFERROR(VLOOKUP(A363,'Product Master'!D360:F20359,3,0),"")</f>
        <v/>
      </c>
    </row>
    <row r="364" spans="1:12" x14ac:dyDescent="0.2">
      <c r="A364" s="1"/>
      <c r="B364" s="8">
        <f>SUMIFS('Stock In-Out'!D:D,'Stock In-Out'!B:B,"Opening Stock",'Stock In-Out'!A:A,Inventory!A364)</f>
        <v>0</v>
      </c>
      <c r="C364" s="8">
        <f>SUMIFS('Stock In-Out'!D:D,'Stock In-Out'!B:B,"In",'Stock In-Out'!A:A,Inventory!A364)</f>
        <v>0</v>
      </c>
      <c r="D364" s="8">
        <f>SUMIFS('Stock In-Out'!D:D,'Stock In-Out'!B:B,"Out",'Stock In-Out'!A:A,Inventory!A364)</f>
        <v>0</v>
      </c>
      <c r="E364" s="8">
        <f t="shared" si="6"/>
        <v>0</v>
      </c>
      <c r="F364" s="8" t="str">
        <f>IFERROR(VLOOKUP(A364,'Product Master'!D:N,10,0)*E364,"")</f>
        <v/>
      </c>
      <c r="G364" s="9" t="str">
        <f>IFERROR(VLOOKUP(A364,'Product Master'!D:N,11,0)*E364,"")</f>
        <v/>
      </c>
      <c r="H364" s="8">
        <f>SUMIFS('Product Master'!G:G,'Product Master'!D:D,Inventory!A364)+SUMIFS('Stock In-Out'!I:I,'Stock In-Out'!A:A,Inventory!A364)-SUMIFS('Stock In-Out'!J:J,'Stock In-Out'!A:A,Inventory!A364)</f>
        <v>0</v>
      </c>
      <c r="I364" s="8">
        <f>SUMIFS('Product Master'!H:H,'Product Master'!D:D,Inventory!A364)+SUMIFS('Stock In-Out'!K:K,'Stock In-Out'!A:A,Inventory!A364)-SUMIFS('Stock In-Out'!L:L,'Stock In-Out'!A:A,Inventory!A364)</f>
        <v>0</v>
      </c>
      <c r="J364" s="8">
        <f>SUMIFS('Product Master'!I:I,'Product Master'!D:D,Inventory!A364)+SUMIFS('Stock In-Out'!M:M,'Stock In-Out'!A:A,Inventory!A364)-SUMIFS('Stock In-Out'!N:N,'Stock In-Out'!A:A,Inventory!A364)</f>
        <v>0</v>
      </c>
      <c r="K364" s="8" t="str">
        <f>IFERROR(VLOOKUP(A364,'Product Master'!D:N,7,0),"")</f>
        <v/>
      </c>
      <c r="L364" s="6" t="str">
        <f>IFERROR(VLOOKUP(A364,'Product Master'!D361:F20360,3,0),"")</f>
        <v/>
      </c>
    </row>
    <row r="365" spans="1:12" x14ac:dyDescent="0.2">
      <c r="A365" s="1"/>
      <c r="B365" s="8">
        <f>SUMIFS('Stock In-Out'!D:D,'Stock In-Out'!B:B,"Opening Stock",'Stock In-Out'!A:A,Inventory!A365)</f>
        <v>0</v>
      </c>
      <c r="C365" s="8">
        <f>SUMIFS('Stock In-Out'!D:D,'Stock In-Out'!B:B,"In",'Stock In-Out'!A:A,Inventory!A365)</f>
        <v>0</v>
      </c>
      <c r="D365" s="8">
        <f>SUMIFS('Stock In-Out'!D:D,'Stock In-Out'!B:B,"Out",'Stock In-Out'!A:A,Inventory!A365)</f>
        <v>0</v>
      </c>
      <c r="E365" s="8">
        <f t="shared" si="6"/>
        <v>0</v>
      </c>
      <c r="F365" s="8" t="str">
        <f>IFERROR(VLOOKUP(A365,'Product Master'!D:N,10,0)*E365,"")</f>
        <v/>
      </c>
      <c r="G365" s="9" t="str">
        <f>IFERROR(VLOOKUP(A365,'Product Master'!D:N,11,0)*E365,"")</f>
        <v/>
      </c>
      <c r="H365" s="8">
        <f>SUMIFS('Product Master'!G:G,'Product Master'!D:D,Inventory!A365)+SUMIFS('Stock In-Out'!I:I,'Stock In-Out'!A:A,Inventory!A365)-SUMIFS('Stock In-Out'!J:J,'Stock In-Out'!A:A,Inventory!A365)</f>
        <v>0</v>
      </c>
      <c r="I365" s="8">
        <f>SUMIFS('Product Master'!H:H,'Product Master'!D:D,Inventory!A365)+SUMIFS('Stock In-Out'!K:K,'Stock In-Out'!A:A,Inventory!A365)-SUMIFS('Stock In-Out'!L:L,'Stock In-Out'!A:A,Inventory!A365)</f>
        <v>0</v>
      </c>
      <c r="J365" s="8">
        <f>SUMIFS('Product Master'!I:I,'Product Master'!D:D,Inventory!A365)+SUMIFS('Stock In-Out'!M:M,'Stock In-Out'!A:A,Inventory!A365)-SUMIFS('Stock In-Out'!N:N,'Stock In-Out'!A:A,Inventory!A365)</f>
        <v>0</v>
      </c>
      <c r="K365" s="8" t="str">
        <f>IFERROR(VLOOKUP(A365,'Product Master'!D:N,7,0),"")</f>
        <v/>
      </c>
      <c r="L365" s="6" t="str">
        <f>IFERROR(VLOOKUP(A365,'Product Master'!D362:F20361,3,0),"")</f>
        <v/>
      </c>
    </row>
    <row r="366" spans="1:12" x14ac:dyDescent="0.2">
      <c r="A366" s="1"/>
      <c r="B366" s="8">
        <f>SUMIFS('Stock In-Out'!D:D,'Stock In-Out'!B:B,"Opening Stock",'Stock In-Out'!A:A,Inventory!A366)</f>
        <v>0</v>
      </c>
      <c r="C366" s="8">
        <f>SUMIFS('Stock In-Out'!D:D,'Stock In-Out'!B:B,"In",'Stock In-Out'!A:A,Inventory!A366)</f>
        <v>0</v>
      </c>
      <c r="D366" s="8">
        <f>SUMIFS('Stock In-Out'!D:D,'Stock In-Out'!B:B,"Out",'Stock In-Out'!A:A,Inventory!A366)</f>
        <v>0</v>
      </c>
      <c r="E366" s="8">
        <f t="shared" si="6"/>
        <v>0</v>
      </c>
      <c r="F366" s="8" t="str">
        <f>IFERROR(VLOOKUP(A366,'Product Master'!D:N,10,0)*E366,"")</f>
        <v/>
      </c>
      <c r="G366" s="9" t="str">
        <f>IFERROR(VLOOKUP(A366,'Product Master'!D:N,11,0)*E366,"")</f>
        <v/>
      </c>
      <c r="H366" s="8">
        <f>SUMIFS('Product Master'!G:G,'Product Master'!D:D,Inventory!A366)+SUMIFS('Stock In-Out'!I:I,'Stock In-Out'!A:A,Inventory!A366)-SUMIFS('Stock In-Out'!J:J,'Stock In-Out'!A:A,Inventory!A366)</f>
        <v>0</v>
      </c>
      <c r="I366" s="8">
        <f>SUMIFS('Product Master'!H:H,'Product Master'!D:D,Inventory!A366)+SUMIFS('Stock In-Out'!K:K,'Stock In-Out'!A:A,Inventory!A366)-SUMIFS('Stock In-Out'!L:L,'Stock In-Out'!A:A,Inventory!A366)</f>
        <v>0</v>
      </c>
      <c r="J366" s="8">
        <f>SUMIFS('Product Master'!I:I,'Product Master'!D:D,Inventory!A366)+SUMIFS('Stock In-Out'!M:M,'Stock In-Out'!A:A,Inventory!A366)-SUMIFS('Stock In-Out'!N:N,'Stock In-Out'!A:A,Inventory!A366)</f>
        <v>0</v>
      </c>
      <c r="K366" s="8" t="str">
        <f>IFERROR(VLOOKUP(A366,'Product Master'!D:N,7,0),"")</f>
        <v/>
      </c>
      <c r="L366" s="6" t="str">
        <f>IFERROR(VLOOKUP(A366,'Product Master'!D363:F20362,3,0),"")</f>
        <v/>
      </c>
    </row>
    <row r="367" spans="1:12" x14ac:dyDescent="0.2">
      <c r="A367" s="1"/>
      <c r="B367" s="8">
        <f>SUMIFS('Stock In-Out'!D:D,'Stock In-Out'!B:B,"Opening Stock",'Stock In-Out'!A:A,Inventory!A367)</f>
        <v>0</v>
      </c>
      <c r="C367" s="8">
        <f>SUMIFS('Stock In-Out'!D:D,'Stock In-Out'!B:B,"In",'Stock In-Out'!A:A,Inventory!A367)</f>
        <v>0</v>
      </c>
      <c r="D367" s="8">
        <f>SUMIFS('Stock In-Out'!D:D,'Stock In-Out'!B:B,"Out",'Stock In-Out'!A:A,Inventory!A367)</f>
        <v>0</v>
      </c>
      <c r="E367" s="8">
        <f t="shared" ref="E367:E430" si="7">B367+C367-D367</f>
        <v>0</v>
      </c>
      <c r="F367" s="8" t="str">
        <f>IFERROR(VLOOKUP(A367,'Product Master'!D:N,10,0)*E367,"")</f>
        <v/>
      </c>
      <c r="G367" s="9" t="str">
        <f>IFERROR(VLOOKUP(A367,'Product Master'!D:N,11,0)*E367,"")</f>
        <v/>
      </c>
      <c r="H367" s="8">
        <f>SUMIFS('Product Master'!G:G,'Product Master'!D:D,Inventory!A367)+SUMIFS('Stock In-Out'!I:I,'Stock In-Out'!A:A,Inventory!A367)-SUMIFS('Stock In-Out'!J:J,'Stock In-Out'!A:A,Inventory!A367)</f>
        <v>0</v>
      </c>
      <c r="I367" s="8">
        <f>SUMIFS('Product Master'!H:H,'Product Master'!D:D,Inventory!A367)+SUMIFS('Stock In-Out'!K:K,'Stock In-Out'!A:A,Inventory!A367)-SUMIFS('Stock In-Out'!L:L,'Stock In-Out'!A:A,Inventory!A367)</f>
        <v>0</v>
      </c>
      <c r="J367" s="8">
        <f>SUMIFS('Product Master'!I:I,'Product Master'!D:D,Inventory!A367)+SUMIFS('Stock In-Out'!M:M,'Stock In-Out'!A:A,Inventory!A367)-SUMIFS('Stock In-Out'!N:N,'Stock In-Out'!A:A,Inventory!A367)</f>
        <v>0</v>
      </c>
      <c r="K367" s="8" t="str">
        <f>IFERROR(VLOOKUP(A367,'Product Master'!D:N,7,0),"")</f>
        <v/>
      </c>
      <c r="L367" s="6" t="str">
        <f>IFERROR(VLOOKUP(A367,'Product Master'!D364:F20363,3,0),"")</f>
        <v/>
      </c>
    </row>
    <row r="368" spans="1:12" x14ac:dyDescent="0.2">
      <c r="A368" s="1"/>
      <c r="B368" s="8">
        <f>SUMIFS('Stock In-Out'!D:D,'Stock In-Out'!B:B,"Opening Stock",'Stock In-Out'!A:A,Inventory!A368)</f>
        <v>0</v>
      </c>
      <c r="C368" s="8">
        <f>SUMIFS('Stock In-Out'!D:D,'Stock In-Out'!B:B,"In",'Stock In-Out'!A:A,Inventory!A368)</f>
        <v>0</v>
      </c>
      <c r="D368" s="8">
        <f>SUMIFS('Stock In-Out'!D:D,'Stock In-Out'!B:B,"Out",'Stock In-Out'!A:A,Inventory!A368)</f>
        <v>0</v>
      </c>
      <c r="E368" s="8">
        <f t="shared" si="7"/>
        <v>0</v>
      </c>
      <c r="F368" s="8" t="str">
        <f>IFERROR(VLOOKUP(A368,'Product Master'!D:N,10,0)*E368,"")</f>
        <v/>
      </c>
      <c r="G368" s="9" t="str">
        <f>IFERROR(VLOOKUP(A368,'Product Master'!D:N,11,0)*E368,"")</f>
        <v/>
      </c>
      <c r="H368" s="8">
        <f>SUMIFS('Product Master'!G:G,'Product Master'!D:D,Inventory!A368)+SUMIFS('Stock In-Out'!I:I,'Stock In-Out'!A:A,Inventory!A368)-SUMIFS('Stock In-Out'!J:J,'Stock In-Out'!A:A,Inventory!A368)</f>
        <v>0</v>
      </c>
      <c r="I368" s="8">
        <f>SUMIFS('Product Master'!H:H,'Product Master'!D:D,Inventory!A368)+SUMIFS('Stock In-Out'!K:K,'Stock In-Out'!A:A,Inventory!A368)-SUMIFS('Stock In-Out'!L:L,'Stock In-Out'!A:A,Inventory!A368)</f>
        <v>0</v>
      </c>
      <c r="J368" s="8">
        <f>SUMIFS('Product Master'!I:I,'Product Master'!D:D,Inventory!A368)+SUMIFS('Stock In-Out'!M:M,'Stock In-Out'!A:A,Inventory!A368)-SUMIFS('Stock In-Out'!N:N,'Stock In-Out'!A:A,Inventory!A368)</f>
        <v>0</v>
      </c>
      <c r="K368" s="8" t="str">
        <f>IFERROR(VLOOKUP(A368,'Product Master'!D:N,7,0),"")</f>
        <v/>
      </c>
      <c r="L368" s="6" t="str">
        <f>IFERROR(VLOOKUP(A368,'Product Master'!D365:F20364,3,0),"")</f>
        <v/>
      </c>
    </row>
    <row r="369" spans="1:12" x14ac:dyDescent="0.2">
      <c r="A369" s="1"/>
      <c r="B369" s="8">
        <f>SUMIFS('Stock In-Out'!D:D,'Stock In-Out'!B:B,"Opening Stock",'Stock In-Out'!A:A,Inventory!A369)</f>
        <v>0</v>
      </c>
      <c r="C369" s="8">
        <f>SUMIFS('Stock In-Out'!D:D,'Stock In-Out'!B:B,"In",'Stock In-Out'!A:A,Inventory!A369)</f>
        <v>0</v>
      </c>
      <c r="D369" s="8">
        <f>SUMIFS('Stock In-Out'!D:D,'Stock In-Out'!B:B,"Out",'Stock In-Out'!A:A,Inventory!A369)</f>
        <v>0</v>
      </c>
      <c r="E369" s="8">
        <f t="shared" si="7"/>
        <v>0</v>
      </c>
      <c r="F369" s="8" t="str">
        <f>IFERROR(VLOOKUP(A369,'Product Master'!D:N,10,0)*E369,"")</f>
        <v/>
      </c>
      <c r="G369" s="9" t="str">
        <f>IFERROR(VLOOKUP(A369,'Product Master'!D:N,11,0)*E369,"")</f>
        <v/>
      </c>
      <c r="H369" s="8">
        <f>SUMIFS('Product Master'!G:G,'Product Master'!D:D,Inventory!A369)+SUMIFS('Stock In-Out'!I:I,'Stock In-Out'!A:A,Inventory!A369)-SUMIFS('Stock In-Out'!J:J,'Stock In-Out'!A:A,Inventory!A369)</f>
        <v>0</v>
      </c>
      <c r="I369" s="8">
        <f>SUMIFS('Product Master'!H:H,'Product Master'!D:D,Inventory!A369)+SUMIFS('Stock In-Out'!K:K,'Stock In-Out'!A:A,Inventory!A369)-SUMIFS('Stock In-Out'!L:L,'Stock In-Out'!A:A,Inventory!A369)</f>
        <v>0</v>
      </c>
      <c r="J369" s="8">
        <f>SUMIFS('Product Master'!I:I,'Product Master'!D:D,Inventory!A369)+SUMIFS('Stock In-Out'!M:M,'Stock In-Out'!A:A,Inventory!A369)-SUMIFS('Stock In-Out'!N:N,'Stock In-Out'!A:A,Inventory!A369)</f>
        <v>0</v>
      </c>
      <c r="K369" s="8" t="str">
        <f>IFERROR(VLOOKUP(A369,'Product Master'!D:N,7,0),"")</f>
        <v/>
      </c>
      <c r="L369" s="6" t="str">
        <f>IFERROR(VLOOKUP(A369,'Product Master'!D366:F20365,3,0),"")</f>
        <v/>
      </c>
    </row>
    <row r="370" spans="1:12" x14ac:dyDescent="0.2">
      <c r="A370" s="1"/>
      <c r="B370" s="8">
        <f>SUMIFS('Stock In-Out'!D:D,'Stock In-Out'!B:B,"Opening Stock",'Stock In-Out'!A:A,Inventory!A370)</f>
        <v>0</v>
      </c>
      <c r="C370" s="8">
        <f>SUMIFS('Stock In-Out'!D:D,'Stock In-Out'!B:B,"In",'Stock In-Out'!A:A,Inventory!A370)</f>
        <v>0</v>
      </c>
      <c r="D370" s="8">
        <f>SUMIFS('Stock In-Out'!D:D,'Stock In-Out'!B:B,"Out",'Stock In-Out'!A:A,Inventory!A370)</f>
        <v>0</v>
      </c>
      <c r="E370" s="8">
        <f t="shared" si="7"/>
        <v>0</v>
      </c>
      <c r="F370" s="8" t="str">
        <f>IFERROR(VLOOKUP(A370,'Product Master'!D:N,10,0)*E370,"")</f>
        <v/>
      </c>
      <c r="G370" s="9" t="str">
        <f>IFERROR(VLOOKUP(A370,'Product Master'!D:N,11,0)*E370,"")</f>
        <v/>
      </c>
      <c r="H370" s="8">
        <f>SUMIFS('Product Master'!G:G,'Product Master'!D:D,Inventory!A370)+SUMIFS('Stock In-Out'!I:I,'Stock In-Out'!A:A,Inventory!A370)-SUMIFS('Stock In-Out'!J:J,'Stock In-Out'!A:A,Inventory!A370)</f>
        <v>0</v>
      </c>
      <c r="I370" s="8">
        <f>SUMIFS('Product Master'!H:H,'Product Master'!D:D,Inventory!A370)+SUMIFS('Stock In-Out'!K:K,'Stock In-Out'!A:A,Inventory!A370)-SUMIFS('Stock In-Out'!L:L,'Stock In-Out'!A:A,Inventory!A370)</f>
        <v>0</v>
      </c>
      <c r="J370" s="8">
        <f>SUMIFS('Product Master'!I:I,'Product Master'!D:D,Inventory!A370)+SUMIFS('Stock In-Out'!M:M,'Stock In-Out'!A:A,Inventory!A370)-SUMIFS('Stock In-Out'!N:N,'Stock In-Out'!A:A,Inventory!A370)</f>
        <v>0</v>
      </c>
      <c r="K370" s="8" t="str">
        <f>IFERROR(VLOOKUP(A370,'Product Master'!D:N,7,0),"")</f>
        <v/>
      </c>
      <c r="L370" s="6" t="str">
        <f>IFERROR(VLOOKUP(A370,'Product Master'!D367:F20366,3,0),"")</f>
        <v/>
      </c>
    </row>
    <row r="371" spans="1:12" x14ac:dyDescent="0.2">
      <c r="A371" s="1"/>
      <c r="B371" s="8">
        <f>SUMIFS('Stock In-Out'!D:D,'Stock In-Out'!B:B,"Opening Stock",'Stock In-Out'!A:A,Inventory!A371)</f>
        <v>0</v>
      </c>
      <c r="C371" s="8">
        <f>SUMIFS('Stock In-Out'!D:D,'Stock In-Out'!B:B,"In",'Stock In-Out'!A:A,Inventory!A371)</f>
        <v>0</v>
      </c>
      <c r="D371" s="8">
        <f>SUMIFS('Stock In-Out'!D:D,'Stock In-Out'!B:B,"Out",'Stock In-Out'!A:A,Inventory!A371)</f>
        <v>0</v>
      </c>
      <c r="E371" s="8">
        <f t="shared" si="7"/>
        <v>0</v>
      </c>
      <c r="F371" s="8" t="str">
        <f>IFERROR(VLOOKUP(A371,'Product Master'!D:N,10,0)*E371,"")</f>
        <v/>
      </c>
      <c r="G371" s="9" t="str">
        <f>IFERROR(VLOOKUP(A371,'Product Master'!D:N,11,0)*E371,"")</f>
        <v/>
      </c>
      <c r="H371" s="8">
        <f>SUMIFS('Product Master'!G:G,'Product Master'!D:D,Inventory!A371)+SUMIFS('Stock In-Out'!I:I,'Stock In-Out'!A:A,Inventory!A371)-SUMIFS('Stock In-Out'!J:J,'Stock In-Out'!A:A,Inventory!A371)</f>
        <v>0</v>
      </c>
      <c r="I371" s="8">
        <f>SUMIFS('Product Master'!H:H,'Product Master'!D:D,Inventory!A371)+SUMIFS('Stock In-Out'!K:K,'Stock In-Out'!A:A,Inventory!A371)-SUMIFS('Stock In-Out'!L:L,'Stock In-Out'!A:A,Inventory!A371)</f>
        <v>0</v>
      </c>
      <c r="J371" s="8">
        <f>SUMIFS('Product Master'!I:I,'Product Master'!D:D,Inventory!A371)+SUMIFS('Stock In-Out'!M:M,'Stock In-Out'!A:A,Inventory!A371)-SUMIFS('Stock In-Out'!N:N,'Stock In-Out'!A:A,Inventory!A371)</f>
        <v>0</v>
      </c>
      <c r="K371" s="8" t="str">
        <f>IFERROR(VLOOKUP(A371,'Product Master'!D:N,7,0),"")</f>
        <v/>
      </c>
      <c r="L371" s="6" t="str">
        <f>IFERROR(VLOOKUP(A371,'Product Master'!D368:F20367,3,0),"")</f>
        <v/>
      </c>
    </row>
    <row r="372" spans="1:12" x14ac:dyDescent="0.2">
      <c r="A372" s="1"/>
      <c r="B372" s="8">
        <f>SUMIFS('Stock In-Out'!D:D,'Stock In-Out'!B:B,"Opening Stock",'Stock In-Out'!A:A,Inventory!A372)</f>
        <v>0</v>
      </c>
      <c r="C372" s="8">
        <f>SUMIFS('Stock In-Out'!D:D,'Stock In-Out'!B:B,"In",'Stock In-Out'!A:A,Inventory!A372)</f>
        <v>0</v>
      </c>
      <c r="D372" s="8">
        <f>SUMIFS('Stock In-Out'!D:D,'Stock In-Out'!B:B,"Out",'Stock In-Out'!A:A,Inventory!A372)</f>
        <v>0</v>
      </c>
      <c r="E372" s="8">
        <f t="shared" si="7"/>
        <v>0</v>
      </c>
      <c r="F372" s="8" t="str">
        <f>IFERROR(VLOOKUP(A372,'Product Master'!D:N,10,0)*E372,"")</f>
        <v/>
      </c>
      <c r="G372" s="9" t="str">
        <f>IFERROR(VLOOKUP(A372,'Product Master'!D:N,11,0)*E372,"")</f>
        <v/>
      </c>
      <c r="H372" s="8">
        <f>SUMIFS('Product Master'!G:G,'Product Master'!D:D,Inventory!A372)+SUMIFS('Stock In-Out'!I:I,'Stock In-Out'!A:A,Inventory!A372)-SUMIFS('Stock In-Out'!J:J,'Stock In-Out'!A:A,Inventory!A372)</f>
        <v>0</v>
      </c>
      <c r="I372" s="8">
        <f>SUMIFS('Product Master'!H:H,'Product Master'!D:D,Inventory!A372)+SUMIFS('Stock In-Out'!K:K,'Stock In-Out'!A:A,Inventory!A372)-SUMIFS('Stock In-Out'!L:L,'Stock In-Out'!A:A,Inventory!A372)</f>
        <v>0</v>
      </c>
      <c r="J372" s="8">
        <f>SUMIFS('Product Master'!I:I,'Product Master'!D:D,Inventory!A372)+SUMIFS('Stock In-Out'!M:M,'Stock In-Out'!A:A,Inventory!A372)-SUMIFS('Stock In-Out'!N:N,'Stock In-Out'!A:A,Inventory!A372)</f>
        <v>0</v>
      </c>
      <c r="K372" s="8" t="str">
        <f>IFERROR(VLOOKUP(A372,'Product Master'!D:N,7,0),"")</f>
        <v/>
      </c>
      <c r="L372" s="6" t="str">
        <f>IFERROR(VLOOKUP(A372,'Product Master'!D369:F20368,3,0),"")</f>
        <v/>
      </c>
    </row>
    <row r="373" spans="1:12" x14ac:dyDescent="0.2">
      <c r="A373" s="1"/>
      <c r="B373" s="8">
        <f>SUMIFS('Stock In-Out'!D:D,'Stock In-Out'!B:B,"Opening Stock",'Stock In-Out'!A:A,Inventory!A373)</f>
        <v>0</v>
      </c>
      <c r="C373" s="8">
        <f>SUMIFS('Stock In-Out'!D:D,'Stock In-Out'!B:B,"In",'Stock In-Out'!A:A,Inventory!A373)</f>
        <v>0</v>
      </c>
      <c r="D373" s="8">
        <f>SUMIFS('Stock In-Out'!D:D,'Stock In-Out'!B:B,"Out",'Stock In-Out'!A:A,Inventory!A373)</f>
        <v>0</v>
      </c>
      <c r="E373" s="8">
        <f t="shared" si="7"/>
        <v>0</v>
      </c>
      <c r="F373" s="8" t="str">
        <f>IFERROR(VLOOKUP(A373,'Product Master'!D:N,10,0)*E373,"")</f>
        <v/>
      </c>
      <c r="G373" s="9" t="str">
        <f>IFERROR(VLOOKUP(A373,'Product Master'!D:N,11,0)*E373,"")</f>
        <v/>
      </c>
      <c r="H373" s="8">
        <f>SUMIFS('Product Master'!G:G,'Product Master'!D:D,Inventory!A373)+SUMIFS('Stock In-Out'!I:I,'Stock In-Out'!A:A,Inventory!A373)-SUMIFS('Stock In-Out'!J:J,'Stock In-Out'!A:A,Inventory!A373)</f>
        <v>0</v>
      </c>
      <c r="I373" s="8">
        <f>SUMIFS('Product Master'!H:H,'Product Master'!D:D,Inventory!A373)+SUMIFS('Stock In-Out'!K:K,'Stock In-Out'!A:A,Inventory!A373)-SUMIFS('Stock In-Out'!L:L,'Stock In-Out'!A:A,Inventory!A373)</f>
        <v>0</v>
      </c>
      <c r="J373" s="8">
        <f>SUMIFS('Product Master'!I:I,'Product Master'!D:D,Inventory!A373)+SUMIFS('Stock In-Out'!M:M,'Stock In-Out'!A:A,Inventory!A373)-SUMIFS('Stock In-Out'!N:N,'Stock In-Out'!A:A,Inventory!A373)</f>
        <v>0</v>
      </c>
      <c r="K373" s="8" t="str">
        <f>IFERROR(VLOOKUP(A373,'Product Master'!D:N,7,0),"")</f>
        <v/>
      </c>
      <c r="L373" s="6" t="str">
        <f>IFERROR(VLOOKUP(A373,'Product Master'!D370:F20369,3,0),"")</f>
        <v/>
      </c>
    </row>
    <row r="374" spans="1:12" x14ac:dyDescent="0.2">
      <c r="A374" s="1"/>
      <c r="B374" s="8">
        <f>SUMIFS('Stock In-Out'!D:D,'Stock In-Out'!B:B,"Opening Stock",'Stock In-Out'!A:A,Inventory!A374)</f>
        <v>0</v>
      </c>
      <c r="C374" s="8">
        <f>SUMIFS('Stock In-Out'!D:D,'Stock In-Out'!B:B,"In",'Stock In-Out'!A:A,Inventory!A374)</f>
        <v>0</v>
      </c>
      <c r="D374" s="8">
        <f>SUMIFS('Stock In-Out'!D:D,'Stock In-Out'!B:B,"Out",'Stock In-Out'!A:A,Inventory!A374)</f>
        <v>0</v>
      </c>
      <c r="E374" s="8">
        <f t="shared" si="7"/>
        <v>0</v>
      </c>
      <c r="F374" s="8" t="str">
        <f>IFERROR(VLOOKUP(A374,'Product Master'!D:N,10,0)*E374,"")</f>
        <v/>
      </c>
      <c r="G374" s="9" t="str">
        <f>IFERROR(VLOOKUP(A374,'Product Master'!D:N,11,0)*E374,"")</f>
        <v/>
      </c>
      <c r="H374" s="8">
        <f>SUMIFS('Product Master'!G:G,'Product Master'!D:D,Inventory!A374)+SUMIFS('Stock In-Out'!I:I,'Stock In-Out'!A:A,Inventory!A374)-SUMIFS('Stock In-Out'!J:J,'Stock In-Out'!A:A,Inventory!A374)</f>
        <v>0</v>
      </c>
      <c r="I374" s="8">
        <f>SUMIFS('Product Master'!H:H,'Product Master'!D:D,Inventory!A374)+SUMIFS('Stock In-Out'!K:K,'Stock In-Out'!A:A,Inventory!A374)-SUMIFS('Stock In-Out'!L:L,'Stock In-Out'!A:A,Inventory!A374)</f>
        <v>0</v>
      </c>
      <c r="J374" s="8">
        <f>SUMIFS('Product Master'!I:I,'Product Master'!D:D,Inventory!A374)+SUMIFS('Stock In-Out'!M:M,'Stock In-Out'!A:A,Inventory!A374)-SUMIFS('Stock In-Out'!N:N,'Stock In-Out'!A:A,Inventory!A374)</f>
        <v>0</v>
      </c>
      <c r="K374" s="8" t="str">
        <f>IFERROR(VLOOKUP(A374,'Product Master'!D:N,7,0),"")</f>
        <v/>
      </c>
      <c r="L374" s="6" t="str">
        <f>IFERROR(VLOOKUP(A374,'Product Master'!D371:F20370,3,0),"")</f>
        <v/>
      </c>
    </row>
    <row r="375" spans="1:12" x14ac:dyDescent="0.2">
      <c r="A375" s="1"/>
      <c r="B375" s="8">
        <f>SUMIFS('Stock In-Out'!D:D,'Stock In-Out'!B:B,"Opening Stock",'Stock In-Out'!A:A,Inventory!A375)</f>
        <v>0</v>
      </c>
      <c r="C375" s="8">
        <f>SUMIFS('Stock In-Out'!D:D,'Stock In-Out'!B:B,"In",'Stock In-Out'!A:A,Inventory!A375)</f>
        <v>0</v>
      </c>
      <c r="D375" s="8">
        <f>SUMIFS('Stock In-Out'!D:D,'Stock In-Out'!B:B,"Out",'Stock In-Out'!A:A,Inventory!A375)</f>
        <v>0</v>
      </c>
      <c r="E375" s="8">
        <f t="shared" si="7"/>
        <v>0</v>
      </c>
      <c r="F375" s="8" t="str">
        <f>IFERROR(VLOOKUP(A375,'Product Master'!D:N,10,0)*E375,"")</f>
        <v/>
      </c>
      <c r="G375" s="9" t="str">
        <f>IFERROR(VLOOKUP(A375,'Product Master'!D:N,11,0)*E375,"")</f>
        <v/>
      </c>
      <c r="H375" s="8">
        <f>SUMIFS('Product Master'!G:G,'Product Master'!D:D,Inventory!A375)+SUMIFS('Stock In-Out'!I:I,'Stock In-Out'!A:A,Inventory!A375)-SUMIFS('Stock In-Out'!J:J,'Stock In-Out'!A:A,Inventory!A375)</f>
        <v>0</v>
      </c>
      <c r="I375" s="8">
        <f>SUMIFS('Product Master'!H:H,'Product Master'!D:D,Inventory!A375)+SUMIFS('Stock In-Out'!K:K,'Stock In-Out'!A:A,Inventory!A375)-SUMIFS('Stock In-Out'!L:L,'Stock In-Out'!A:A,Inventory!A375)</f>
        <v>0</v>
      </c>
      <c r="J375" s="8">
        <f>SUMIFS('Product Master'!I:I,'Product Master'!D:D,Inventory!A375)+SUMIFS('Stock In-Out'!M:M,'Stock In-Out'!A:A,Inventory!A375)-SUMIFS('Stock In-Out'!N:N,'Stock In-Out'!A:A,Inventory!A375)</f>
        <v>0</v>
      </c>
      <c r="K375" s="8" t="str">
        <f>IFERROR(VLOOKUP(A375,'Product Master'!D:N,7,0),"")</f>
        <v/>
      </c>
      <c r="L375" s="6" t="str">
        <f>IFERROR(VLOOKUP(A375,'Product Master'!D372:F20371,3,0),"")</f>
        <v/>
      </c>
    </row>
    <row r="376" spans="1:12" x14ac:dyDescent="0.2">
      <c r="A376" s="1"/>
      <c r="B376" s="8">
        <f>SUMIFS('Stock In-Out'!D:D,'Stock In-Out'!B:B,"Opening Stock",'Stock In-Out'!A:A,Inventory!A376)</f>
        <v>0</v>
      </c>
      <c r="C376" s="8">
        <f>SUMIFS('Stock In-Out'!D:D,'Stock In-Out'!B:B,"In",'Stock In-Out'!A:A,Inventory!A376)</f>
        <v>0</v>
      </c>
      <c r="D376" s="8">
        <f>SUMIFS('Stock In-Out'!D:D,'Stock In-Out'!B:B,"Out",'Stock In-Out'!A:A,Inventory!A376)</f>
        <v>0</v>
      </c>
      <c r="E376" s="8">
        <f t="shared" si="7"/>
        <v>0</v>
      </c>
      <c r="F376" s="8" t="str">
        <f>IFERROR(VLOOKUP(A376,'Product Master'!D:N,10,0)*E376,"")</f>
        <v/>
      </c>
      <c r="G376" s="9" t="str">
        <f>IFERROR(VLOOKUP(A376,'Product Master'!D:N,11,0)*E376,"")</f>
        <v/>
      </c>
      <c r="H376" s="8">
        <f>SUMIFS('Product Master'!G:G,'Product Master'!D:D,Inventory!A376)+SUMIFS('Stock In-Out'!I:I,'Stock In-Out'!A:A,Inventory!A376)-SUMIFS('Stock In-Out'!J:J,'Stock In-Out'!A:A,Inventory!A376)</f>
        <v>0</v>
      </c>
      <c r="I376" s="8">
        <f>SUMIFS('Product Master'!H:H,'Product Master'!D:D,Inventory!A376)+SUMIFS('Stock In-Out'!K:K,'Stock In-Out'!A:A,Inventory!A376)-SUMIFS('Stock In-Out'!L:L,'Stock In-Out'!A:A,Inventory!A376)</f>
        <v>0</v>
      </c>
      <c r="J376" s="8">
        <f>SUMIFS('Product Master'!I:I,'Product Master'!D:D,Inventory!A376)+SUMIFS('Stock In-Out'!M:M,'Stock In-Out'!A:A,Inventory!A376)-SUMIFS('Stock In-Out'!N:N,'Stock In-Out'!A:A,Inventory!A376)</f>
        <v>0</v>
      </c>
      <c r="K376" s="8" t="str">
        <f>IFERROR(VLOOKUP(A376,'Product Master'!D:N,7,0),"")</f>
        <v/>
      </c>
      <c r="L376" s="6" t="str">
        <f>IFERROR(VLOOKUP(A376,'Product Master'!D373:F20372,3,0),"")</f>
        <v/>
      </c>
    </row>
    <row r="377" spans="1:12" x14ac:dyDescent="0.2">
      <c r="A377" s="1"/>
      <c r="B377" s="8">
        <f>SUMIFS('Stock In-Out'!D:D,'Stock In-Out'!B:B,"Opening Stock",'Stock In-Out'!A:A,Inventory!A377)</f>
        <v>0</v>
      </c>
      <c r="C377" s="8">
        <f>SUMIFS('Stock In-Out'!D:D,'Stock In-Out'!B:B,"In",'Stock In-Out'!A:A,Inventory!A377)</f>
        <v>0</v>
      </c>
      <c r="D377" s="8">
        <f>SUMIFS('Stock In-Out'!D:D,'Stock In-Out'!B:B,"Out",'Stock In-Out'!A:A,Inventory!A377)</f>
        <v>0</v>
      </c>
      <c r="E377" s="8">
        <f t="shared" si="7"/>
        <v>0</v>
      </c>
      <c r="F377" s="8" t="str">
        <f>IFERROR(VLOOKUP(A377,'Product Master'!D:N,10,0)*E377,"")</f>
        <v/>
      </c>
      <c r="G377" s="9" t="str">
        <f>IFERROR(VLOOKUP(A377,'Product Master'!D:N,11,0)*E377,"")</f>
        <v/>
      </c>
      <c r="H377" s="8">
        <f>SUMIFS('Product Master'!G:G,'Product Master'!D:D,Inventory!A377)+SUMIFS('Stock In-Out'!I:I,'Stock In-Out'!A:A,Inventory!A377)-SUMIFS('Stock In-Out'!J:J,'Stock In-Out'!A:A,Inventory!A377)</f>
        <v>0</v>
      </c>
      <c r="I377" s="8">
        <f>SUMIFS('Product Master'!H:H,'Product Master'!D:D,Inventory!A377)+SUMIFS('Stock In-Out'!K:K,'Stock In-Out'!A:A,Inventory!A377)-SUMIFS('Stock In-Out'!L:L,'Stock In-Out'!A:A,Inventory!A377)</f>
        <v>0</v>
      </c>
      <c r="J377" s="8">
        <f>SUMIFS('Product Master'!I:I,'Product Master'!D:D,Inventory!A377)+SUMIFS('Stock In-Out'!M:M,'Stock In-Out'!A:A,Inventory!A377)-SUMIFS('Stock In-Out'!N:N,'Stock In-Out'!A:A,Inventory!A377)</f>
        <v>0</v>
      </c>
      <c r="K377" s="8" t="str">
        <f>IFERROR(VLOOKUP(A377,'Product Master'!D:N,7,0),"")</f>
        <v/>
      </c>
      <c r="L377" s="6" t="str">
        <f>IFERROR(VLOOKUP(A377,'Product Master'!D374:F20373,3,0),"")</f>
        <v/>
      </c>
    </row>
    <row r="378" spans="1:12" x14ac:dyDescent="0.2">
      <c r="A378" s="1"/>
      <c r="B378" s="8">
        <f>SUMIFS('Stock In-Out'!D:D,'Stock In-Out'!B:B,"Opening Stock",'Stock In-Out'!A:A,Inventory!A378)</f>
        <v>0</v>
      </c>
      <c r="C378" s="8">
        <f>SUMIFS('Stock In-Out'!D:D,'Stock In-Out'!B:B,"In",'Stock In-Out'!A:A,Inventory!A378)</f>
        <v>0</v>
      </c>
      <c r="D378" s="8">
        <f>SUMIFS('Stock In-Out'!D:D,'Stock In-Out'!B:B,"Out",'Stock In-Out'!A:A,Inventory!A378)</f>
        <v>0</v>
      </c>
      <c r="E378" s="8">
        <f t="shared" si="7"/>
        <v>0</v>
      </c>
      <c r="F378" s="8" t="str">
        <f>IFERROR(VLOOKUP(A378,'Product Master'!D:N,10,0)*E378,"")</f>
        <v/>
      </c>
      <c r="G378" s="9" t="str">
        <f>IFERROR(VLOOKUP(A378,'Product Master'!D:N,11,0)*E378,"")</f>
        <v/>
      </c>
      <c r="H378" s="8">
        <f>SUMIFS('Product Master'!G:G,'Product Master'!D:D,Inventory!A378)+SUMIFS('Stock In-Out'!I:I,'Stock In-Out'!A:A,Inventory!A378)-SUMIFS('Stock In-Out'!J:J,'Stock In-Out'!A:A,Inventory!A378)</f>
        <v>0</v>
      </c>
      <c r="I378" s="8">
        <f>SUMIFS('Product Master'!H:H,'Product Master'!D:D,Inventory!A378)+SUMIFS('Stock In-Out'!K:K,'Stock In-Out'!A:A,Inventory!A378)-SUMIFS('Stock In-Out'!L:L,'Stock In-Out'!A:A,Inventory!A378)</f>
        <v>0</v>
      </c>
      <c r="J378" s="8">
        <f>SUMIFS('Product Master'!I:I,'Product Master'!D:D,Inventory!A378)+SUMIFS('Stock In-Out'!M:M,'Stock In-Out'!A:A,Inventory!A378)-SUMIFS('Stock In-Out'!N:N,'Stock In-Out'!A:A,Inventory!A378)</f>
        <v>0</v>
      </c>
      <c r="K378" s="8" t="str">
        <f>IFERROR(VLOOKUP(A378,'Product Master'!D:N,7,0),"")</f>
        <v/>
      </c>
      <c r="L378" s="6" t="str">
        <f>IFERROR(VLOOKUP(A378,'Product Master'!D375:F20374,3,0),"")</f>
        <v/>
      </c>
    </row>
    <row r="379" spans="1:12" x14ac:dyDescent="0.2">
      <c r="A379" s="1"/>
      <c r="B379" s="8">
        <f>SUMIFS('Stock In-Out'!D:D,'Stock In-Out'!B:B,"Opening Stock",'Stock In-Out'!A:A,Inventory!A379)</f>
        <v>0</v>
      </c>
      <c r="C379" s="8">
        <f>SUMIFS('Stock In-Out'!D:D,'Stock In-Out'!B:B,"In",'Stock In-Out'!A:A,Inventory!A379)</f>
        <v>0</v>
      </c>
      <c r="D379" s="8">
        <f>SUMIFS('Stock In-Out'!D:D,'Stock In-Out'!B:B,"Out",'Stock In-Out'!A:A,Inventory!A379)</f>
        <v>0</v>
      </c>
      <c r="E379" s="8">
        <f t="shared" si="7"/>
        <v>0</v>
      </c>
      <c r="F379" s="8" t="str">
        <f>IFERROR(VLOOKUP(A379,'Product Master'!D:N,10,0)*E379,"")</f>
        <v/>
      </c>
      <c r="G379" s="9" t="str">
        <f>IFERROR(VLOOKUP(A379,'Product Master'!D:N,11,0)*E379,"")</f>
        <v/>
      </c>
      <c r="H379" s="8">
        <f>SUMIFS('Product Master'!G:G,'Product Master'!D:D,Inventory!A379)+SUMIFS('Stock In-Out'!I:I,'Stock In-Out'!A:A,Inventory!A379)-SUMIFS('Stock In-Out'!J:J,'Stock In-Out'!A:A,Inventory!A379)</f>
        <v>0</v>
      </c>
      <c r="I379" s="8">
        <f>SUMIFS('Product Master'!H:H,'Product Master'!D:D,Inventory!A379)+SUMIFS('Stock In-Out'!K:K,'Stock In-Out'!A:A,Inventory!A379)-SUMIFS('Stock In-Out'!L:L,'Stock In-Out'!A:A,Inventory!A379)</f>
        <v>0</v>
      </c>
      <c r="J379" s="8">
        <f>SUMIFS('Product Master'!I:I,'Product Master'!D:D,Inventory!A379)+SUMIFS('Stock In-Out'!M:M,'Stock In-Out'!A:A,Inventory!A379)-SUMIFS('Stock In-Out'!N:N,'Stock In-Out'!A:A,Inventory!A379)</f>
        <v>0</v>
      </c>
      <c r="K379" s="8" t="str">
        <f>IFERROR(VLOOKUP(A379,'Product Master'!D:N,7,0),"")</f>
        <v/>
      </c>
      <c r="L379" s="6" t="str">
        <f>IFERROR(VLOOKUP(A379,'Product Master'!D376:F20375,3,0),"")</f>
        <v/>
      </c>
    </row>
    <row r="380" spans="1:12" x14ac:dyDescent="0.2">
      <c r="A380" s="1"/>
      <c r="B380" s="8">
        <f>SUMIFS('Stock In-Out'!D:D,'Stock In-Out'!B:B,"Opening Stock",'Stock In-Out'!A:A,Inventory!A380)</f>
        <v>0</v>
      </c>
      <c r="C380" s="8">
        <f>SUMIFS('Stock In-Out'!D:D,'Stock In-Out'!B:B,"In",'Stock In-Out'!A:A,Inventory!A380)</f>
        <v>0</v>
      </c>
      <c r="D380" s="8">
        <f>SUMIFS('Stock In-Out'!D:D,'Stock In-Out'!B:B,"Out",'Stock In-Out'!A:A,Inventory!A380)</f>
        <v>0</v>
      </c>
      <c r="E380" s="8">
        <f t="shared" si="7"/>
        <v>0</v>
      </c>
      <c r="F380" s="8" t="str">
        <f>IFERROR(VLOOKUP(A380,'Product Master'!D:N,10,0)*E380,"")</f>
        <v/>
      </c>
      <c r="G380" s="9" t="str">
        <f>IFERROR(VLOOKUP(A380,'Product Master'!D:N,11,0)*E380,"")</f>
        <v/>
      </c>
      <c r="H380" s="8">
        <f>SUMIFS('Product Master'!G:G,'Product Master'!D:D,Inventory!A380)+SUMIFS('Stock In-Out'!I:I,'Stock In-Out'!A:A,Inventory!A380)-SUMIFS('Stock In-Out'!J:J,'Stock In-Out'!A:A,Inventory!A380)</f>
        <v>0</v>
      </c>
      <c r="I380" s="8">
        <f>SUMIFS('Product Master'!H:H,'Product Master'!D:D,Inventory!A380)+SUMIFS('Stock In-Out'!K:K,'Stock In-Out'!A:A,Inventory!A380)-SUMIFS('Stock In-Out'!L:L,'Stock In-Out'!A:A,Inventory!A380)</f>
        <v>0</v>
      </c>
      <c r="J380" s="8">
        <f>SUMIFS('Product Master'!I:I,'Product Master'!D:D,Inventory!A380)+SUMIFS('Stock In-Out'!M:M,'Stock In-Out'!A:A,Inventory!A380)-SUMIFS('Stock In-Out'!N:N,'Stock In-Out'!A:A,Inventory!A380)</f>
        <v>0</v>
      </c>
      <c r="K380" s="8" t="str">
        <f>IFERROR(VLOOKUP(A380,'Product Master'!D:N,7,0),"")</f>
        <v/>
      </c>
      <c r="L380" s="6" t="str">
        <f>IFERROR(VLOOKUP(A380,'Product Master'!D377:F20376,3,0),"")</f>
        <v/>
      </c>
    </row>
    <row r="381" spans="1:12" x14ac:dyDescent="0.2">
      <c r="A381" s="1"/>
      <c r="B381" s="8">
        <f>SUMIFS('Stock In-Out'!D:D,'Stock In-Out'!B:B,"Opening Stock",'Stock In-Out'!A:A,Inventory!A381)</f>
        <v>0</v>
      </c>
      <c r="C381" s="8">
        <f>SUMIFS('Stock In-Out'!D:D,'Stock In-Out'!B:B,"In",'Stock In-Out'!A:A,Inventory!A381)</f>
        <v>0</v>
      </c>
      <c r="D381" s="8">
        <f>SUMIFS('Stock In-Out'!D:D,'Stock In-Out'!B:B,"Out",'Stock In-Out'!A:A,Inventory!A381)</f>
        <v>0</v>
      </c>
      <c r="E381" s="8">
        <f t="shared" si="7"/>
        <v>0</v>
      </c>
      <c r="F381" s="8" t="str">
        <f>IFERROR(VLOOKUP(A381,'Product Master'!D:N,10,0)*E381,"")</f>
        <v/>
      </c>
      <c r="G381" s="9" t="str">
        <f>IFERROR(VLOOKUP(A381,'Product Master'!D:N,11,0)*E381,"")</f>
        <v/>
      </c>
      <c r="H381" s="8">
        <f>SUMIFS('Product Master'!G:G,'Product Master'!D:D,Inventory!A381)+SUMIFS('Stock In-Out'!I:I,'Stock In-Out'!A:A,Inventory!A381)-SUMIFS('Stock In-Out'!J:J,'Stock In-Out'!A:A,Inventory!A381)</f>
        <v>0</v>
      </c>
      <c r="I381" s="8">
        <f>SUMIFS('Product Master'!H:H,'Product Master'!D:D,Inventory!A381)+SUMIFS('Stock In-Out'!K:K,'Stock In-Out'!A:A,Inventory!A381)-SUMIFS('Stock In-Out'!L:L,'Stock In-Out'!A:A,Inventory!A381)</f>
        <v>0</v>
      </c>
      <c r="J381" s="8">
        <f>SUMIFS('Product Master'!I:I,'Product Master'!D:D,Inventory!A381)+SUMIFS('Stock In-Out'!M:M,'Stock In-Out'!A:A,Inventory!A381)-SUMIFS('Stock In-Out'!N:N,'Stock In-Out'!A:A,Inventory!A381)</f>
        <v>0</v>
      </c>
      <c r="K381" s="8" t="str">
        <f>IFERROR(VLOOKUP(A381,'Product Master'!D:N,7,0),"")</f>
        <v/>
      </c>
      <c r="L381" s="6" t="str">
        <f>IFERROR(VLOOKUP(A381,'Product Master'!D378:F20377,3,0),"")</f>
        <v/>
      </c>
    </row>
    <row r="382" spans="1:12" x14ac:dyDescent="0.2">
      <c r="A382" s="1"/>
      <c r="B382" s="8">
        <f>SUMIFS('Stock In-Out'!D:D,'Stock In-Out'!B:B,"Opening Stock",'Stock In-Out'!A:A,Inventory!A382)</f>
        <v>0</v>
      </c>
      <c r="C382" s="8">
        <f>SUMIFS('Stock In-Out'!D:D,'Stock In-Out'!B:B,"In",'Stock In-Out'!A:A,Inventory!A382)</f>
        <v>0</v>
      </c>
      <c r="D382" s="8">
        <f>SUMIFS('Stock In-Out'!D:D,'Stock In-Out'!B:B,"Out",'Stock In-Out'!A:A,Inventory!A382)</f>
        <v>0</v>
      </c>
      <c r="E382" s="8">
        <f t="shared" si="7"/>
        <v>0</v>
      </c>
      <c r="F382" s="8" t="str">
        <f>IFERROR(VLOOKUP(A382,'Product Master'!D:N,10,0)*E382,"")</f>
        <v/>
      </c>
      <c r="G382" s="9" t="str">
        <f>IFERROR(VLOOKUP(A382,'Product Master'!D:N,11,0)*E382,"")</f>
        <v/>
      </c>
      <c r="H382" s="8">
        <f>SUMIFS('Product Master'!G:G,'Product Master'!D:D,Inventory!A382)+SUMIFS('Stock In-Out'!I:I,'Stock In-Out'!A:A,Inventory!A382)-SUMIFS('Stock In-Out'!J:J,'Stock In-Out'!A:A,Inventory!A382)</f>
        <v>0</v>
      </c>
      <c r="I382" s="8">
        <f>SUMIFS('Product Master'!H:H,'Product Master'!D:D,Inventory!A382)+SUMIFS('Stock In-Out'!K:K,'Stock In-Out'!A:A,Inventory!A382)-SUMIFS('Stock In-Out'!L:L,'Stock In-Out'!A:A,Inventory!A382)</f>
        <v>0</v>
      </c>
      <c r="J382" s="8">
        <f>SUMIFS('Product Master'!I:I,'Product Master'!D:D,Inventory!A382)+SUMIFS('Stock In-Out'!M:M,'Stock In-Out'!A:A,Inventory!A382)-SUMIFS('Stock In-Out'!N:N,'Stock In-Out'!A:A,Inventory!A382)</f>
        <v>0</v>
      </c>
      <c r="K382" s="8" t="str">
        <f>IFERROR(VLOOKUP(A382,'Product Master'!D:N,7,0),"")</f>
        <v/>
      </c>
      <c r="L382" s="6" t="str">
        <f>IFERROR(VLOOKUP(A382,'Product Master'!D379:F20378,3,0),"")</f>
        <v/>
      </c>
    </row>
    <row r="383" spans="1:12" x14ac:dyDescent="0.2">
      <c r="A383" s="1"/>
      <c r="B383" s="8">
        <f>SUMIFS('Stock In-Out'!D:D,'Stock In-Out'!B:B,"Opening Stock",'Stock In-Out'!A:A,Inventory!A383)</f>
        <v>0</v>
      </c>
      <c r="C383" s="8">
        <f>SUMIFS('Stock In-Out'!D:D,'Stock In-Out'!B:B,"In",'Stock In-Out'!A:A,Inventory!A383)</f>
        <v>0</v>
      </c>
      <c r="D383" s="8">
        <f>SUMIFS('Stock In-Out'!D:D,'Stock In-Out'!B:B,"Out",'Stock In-Out'!A:A,Inventory!A383)</f>
        <v>0</v>
      </c>
      <c r="E383" s="8">
        <f t="shared" si="7"/>
        <v>0</v>
      </c>
      <c r="F383" s="8" t="str">
        <f>IFERROR(VLOOKUP(A383,'Product Master'!D:N,10,0)*E383,"")</f>
        <v/>
      </c>
      <c r="G383" s="9" t="str">
        <f>IFERROR(VLOOKUP(A383,'Product Master'!D:N,11,0)*E383,"")</f>
        <v/>
      </c>
      <c r="H383" s="8">
        <f>SUMIFS('Product Master'!G:G,'Product Master'!D:D,Inventory!A383)+SUMIFS('Stock In-Out'!I:I,'Stock In-Out'!A:A,Inventory!A383)-SUMIFS('Stock In-Out'!J:J,'Stock In-Out'!A:A,Inventory!A383)</f>
        <v>0</v>
      </c>
      <c r="I383" s="8">
        <f>SUMIFS('Product Master'!H:H,'Product Master'!D:D,Inventory!A383)+SUMIFS('Stock In-Out'!K:K,'Stock In-Out'!A:A,Inventory!A383)-SUMIFS('Stock In-Out'!L:L,'Stock In-Out'!A:A,Inventory!A383)</f>
        <v>0</v>
      </c>
      <c r="J383" s="8">
        <f>SUMIFS('Product Master'!I:I,'Product Master'!D:D,Inventory!A383)+SUMIFS('Stock In-Out'!M:M,'Stock In-Out'!A:A,Inventory!A383)-SUMIFS('Stock In-Out'!N:N,'Stock In-Out'!A:A,Inventory!A383)</f>
        <v>0</v>
      </c>
      <c r="K383" s="8" t="str">
        <f>IFERROR(VLOOKUP(A383,'Product Master'!D:N,7,0),"")</f>
        <v/>
      </c>
      <c r="L383" s="6" t="str">
        <f>IFERROR(VLOOKUP(A383,'Product Master'!D380:F20379,3,0),"")</f>
        <v/>
      </c>
    </row>
    <row r="384" spans="1:12" x14ac:dyDescent="0.2">
      <c r="A384" s="1"/>
      <c r="B384" s="8">
        <f>SUMIFS('Stock In-Out'!D:D,'Stock In-Out'!B:B,"Opening Stock",'Stock In-Out'!A:A,Inventory!A384)</f>
        <v>0</v>
      </c>
      <c r="C384" s="8">
        <f>SUMIFS('Stock In-Out'!D:D,'Stock In-Out'!B:B,"In",'Stock In-Out'!A:A,Inventory!A384)</f>
        <v>0</v>
      </c>
      <c r="D384" s="8">
        <f>SUMIFS('Stock In-Out'!D:D,'Stock In-Out'!B:B,"Out",'Stock In-Out'!A:A,Inventory!A384)</f>
        <v>0</v>
      </c>
      <c r="E384" s="8">
        <f t="shared" si="7"/>
        <v>0</v>
      </c>
      <c r="F384" s="8" t="str">
        <f>IFERROR(VLOOKUP(A384,'Product Master'!D:N,10,0)*E384,"")</f>
        <v/>
      </c>
      <c r="G384" s="9" t="str">
        <f>IFERROR(VLOOKUP(A384,'Product Master'!D:N,11,0)*E384,"")</f>
        <v/>
      </c>
      <c r="H384" s="8">
        <f>SUMIFS('Product Master'!G:G,'Product Master'!D:D,Inventory!A384)+SUMIFS('Stock In-Out'!I:I,'Stock In-Out'!A:A,Inventory!A384)-SUMIFS('Stock In-Out'!J:J,'Stock In-Out'!A:A,Inventory!A384)</f>
        <v>0</v>
      </c>
      <c r="I384" s="8">
        <f>SUMIFS('Product Master'!H:H,'Product Master'!D:D,Inventory!A384)+SUMIFS('Stock In-Out'!K:K,'Stock In-Out'!A:A,Inventory!A384)-SUMIFS('Stock In-Out'!L:L,'Stock In-Out'!A:A,Inventory!A384)</f>
        <v>0</v>
      </c>
      <c r="J384" s="8">
        <f>SUMIFS('Product Master'!I:I,'Product Master'!D:D,Inventory!A384)+SUMIFS('Stock In-Out'!M:M,'Stock In-Out'!A:A,Inventory!A384)-SUMIFS('Stock In-Out'!N:N,'Stock In-Out'!A:A,Inventory!A384)</f>
        <v>0</v>
      </c>
      <c r="K384" s="8" t="str">
        <f>IFERROR(VLOOKUP(A384,'Product Master'!D:N,7,0),"")</f>
        <v/>
      </c>
      <c r="L384" s="6" t="str">
        <f>IFERROR(VLOOKUP(A384,'Product Master'!D381:F20380,3,0),"")</f>
        <v/>
      </c>
    </row>
    <row r="385" spans="1:12" x14ac:dyDescent="0.2">
      <c r="A385" s="1"/>
      <c r="B385" s="8">
        <f>SUMIFS('Stock In-Out'!D:D,'Stock In-Out'!B:B,"Opening Stock",'Stock In-Out'!A:A,Inventory!A385)</f>
        <v>0</v>
      </c>
      <c r="C385" s="8">
        <f>SUMIFS('Stock In-Out'!D:D,'Stock In-Out'!B:B,"In",'Stock In-Out'!A:A,Inventory!A385)</f>
        <v>0</v>
      </c>
      <c r="D385" s="8">
        <f>SUMIFS('Stock In-Out'!D:D,'Stock In-Out'!B:B,"Out",'Stock In-Out'!A:A,Inventory!A385)</f>
        <v>0</v>
      </c>
      <c r="E385" s="8">
        <f t="shared" si="7"/>
        <v>0</v>
      </c>
      <c r="F385" s="8" t="str">
        <f>IFERROR(VLOOKUP(A385,'Product Master'!D:N,10,0)*E385,"")</f>
        <v/>
      </c>
      <c r="G385" s="9" t="str">
        <f>IFERROR(VLOOKUP(A385,'Product Master'!D:N,11,0)*E385,"")</f>
        <v/>
      </c>
      <c r="H385" s="8">
        <f>SUMIFS('Product Master'!G:G,'Product Master'!D:D,Inventory!A385)+SUMIFS('Stock In-Out'!I:I,'Stock In-Out'!A:A,Inventory!A385)-SUMIFS('Stock In-Out'!J:J,'Stock In-Out'!A:A,Inventory!A385)</f>
        <v>0</v>
      </c>
      <c r="I385" s="8">
        <f>SUMIFS('Product Master'!H:H,'Product Master'!D:D,Inventory!A385)+SUMIFS('Stock In-Out'!K:K,'Stock In-Out'!A:A,Inventory!A385)-SUMIFS('Stock In-Out'!L:L,'Stock In-Out'!A:A,Inventory!A385)</f>
        <v>0</v>
      </c>
      <c r="J385" s="8">
        <f>SUMIFS('Product Master'!I:I,'Product Master'!D:D,Inventory!A385)+SUMIFS('Stock In-Out'!M:M,'Stock In-Out'!A:A,Inventory!A385)-SUMIFS('Stock In-Out'!N:N,'Stock In-Out'!A:A,Inventory!A385)</f>
        <v>0</v>
      </c>
      <c r="K385" s="8" t="str">
        <f>IFERROR(VLOOKUP(A385,'Product Master'!D:N,7,0),"")</f>
        <v/>
      </c>
      <c r="L385" s="6" t="str">
        <f>IFERROR(VLOOKUP(A385,'Product Master'!D382:F20381,3,0),"")</f>
        <v/>
      </c>
    </row>
    <row r="386" spans="1:12" x14ac:dyDescent="0.2">
      <c r="A386" s="1"/>
      <c r="B386" s="8">
        <f>SUMIFS('Stock In-Out'!D:D,'Stock In-Out'!B:B,"Opening Stock",'Stock In-Out'!A:A,Inventory!A386)</f>
        <v>0</v>
      </c>
      <c r="C386" s="8">
        <f>SUMIFS('Stock In-Out'!D:D,'Stock In-Out'!B:B,"In",'Stock In-Out'!A:A,Inventory!A386)</f>
        <v>0</v>
      </c>
      <c r="D386" s="8">
        <f>SUMIFS('Stock In-Out'!D:D,'Stock In-Out'!B:B,"Out",'Stock In-Out'!A:A,Inventory!A386)</f>
        <v>0</v>
      </c>
      <c r="E386" s="8">
        <f t="shared" si="7"/>
        <v>0</v>
      </c>
      <c r="F386" s="8" t="str">
        <f>IFERROR(VLOOKUP(A386,'Product Master'!D:N,10,0)*E386,"")</f>
        <v/>
      </c>
      <c r="G386" s="9" t="str">
        <f>IFERROR(VLOOKUP(A386,'Product Master'!D:N,11,0)*E386,"")</f>
        <v/>
      </c>
      <c r="H386" s="8">
        <f>SUMIFS('Product Master'!G:G,'Product Master'!D:D,Inventory!A386)+SUMIFS('Stock In-Out'!I:I,'Stock In-Out'!A:A,Inventory!A386)-SUMIFS('Stock In-Out'!J:J,'Stock In-Out'!A:A,Inventory!A386)</f>
        <v>0</v>
      </c>
      <c r="I386" s="8">
        <f>SUMIFS('Product Master'!H:H,'Product Master'!D:D,Inventory!A386)+SUMIFS('Stock In-Out'!K:K,'Stock In-Out'!A:A,Inventory!A386)-SUMIFS('Stock In-Out'!L:L,'Stock In-Out'!A:A,Inventory!A386)</f>
        <v>0</v>
      </c>
      <c r="J386" s="8">
        <f>SUMIFS('Product Master'!I:I,'Product Master'!D:D,Inventory!A386)+SUMIFS('Stock In-Out'!M:M,'Stock In-Out'!A:A,Inventory!A386)-SUMIFS('Stock In-Out'!N:N,'Stock In-Out'!A:A,Inventory!A386)</f>
        <v>0</v>
      </c>
      <c r="K386" s="8" t="str">
        <f>IFERROR(VLOOKUP(A386,'Product Master'!D:N,7,0),"")</f>
        <v/>
      </c>
      <c r="L386" s="6" t="str">
        <f>IFERROR(VLOOKUP(A386,'Product Master'!D383:F20382,3,0),"")</f>
        <v/>
      </c>
    </row>
    <row r="387" spans="1:12" x14ac:dyDescent="0.2">
      <c r="A387" s="1"/>
      <c r="B387" s="8">
        <f>SUMIFS('Stock In-Out'!D:D,'Stock In-Out'!B:B,"Opening Stock",'Stock In-Out'!A:A,Inventory!A387)</f>
        <v>0</v>
      </c>
      <c r="C387" s="8">
        <f>SUMIFS('Stock In-Out'!D:D,'Stock In-Out'!B:B,"In",'Stock In-Out'!A:A,Inventory!A387)</f>
        <v>0</v>
      </c>
      <c r="D387" s="8">
        <f>SUMIFS('Stock In-Out'!D:D,'Stock In-Out'!B:B,"Out",'Stock In-Out'!A:A,Inventory!A387)</f>
        <v>0</v>
      </c>
      <c r="E387" s="8">
        <f t="shared" si="7"/>
        <v>0</v>
      </c>
      <c r="F387" s="8" t="str">
        <f>IFERROR(VLOOKUP(A387,'Product Master'!D:N,10,0)*E387,"")</f>
        <v/>
      </c>
      <c r="G387" s="9" t="str">
        <f>IFERROR(VLOOKUP(A387,'Product Master'!D:N,11,0)*E387,"")</f>
        <v/>
      </c>
      <c r="H387" s="8">
        <f>SUMIFS('Product Master'!G:G,'Product Master'!D:D,Inventory!A387)+SUMIFS('Stock In-Out'!I:I,'Stock In-Out'!A:A,Inventory!A387)-SUMIFS('Stock In-Out'!J:J,'Stock In-Out'!A:A,Inventory!A387)</f>
        <v>0</v>
      </c>
      <c r="I387" s="8">
        <f>SUMIFS('Product Master'!H:H,'Product Master'!D:D,Inventory!A387)+SUMIFS('Stock In-Out'!K:K,'Stock In-Out'!A:A,Inventory!A387)-SUMIFS('Stock In-Out'!L:L,'Stock In-Out'!A:A,Inventory!A387)</f>
        <v>0</v>
      </c>
      <c r="J387" s="8">
        <f>SUMIFS('Product Master'!I:I,'Product Master'!D:D,Inventory!A387)+SUMIFS('Stock In-Out'!M:M,'Stock In-Out'!A:A,Inventory!A387)-SUMIFS('Stock In-Out'!N:N,'Stock In-Out'!A:A,Inventory!A387)</f>
        <v>0</v>
      </c>
      <c r="K387" s="8" t="str">
        <f>IFERROR(VLOOKUP(A387,'Product Master'!D:N,7,0),"")</f>
        <v/>
      </c>
      <c r="L387" s="6" t="str">
        <f>IFERROR(VLOOKUP(A387,'Product Master'!D384:F20383,3,0),"")</f>
        <v/>
      </c>
    </row>
    <row r="388" spans="1:12" x14ac:dyDescent="0.2">
      <c r="A388" s="1"/>
      <c r="B388" s="8">
        <f>SUMIFS('Stock In-Out'!D:D,'Stock In-Out'!B:B,"Opening Stock",'Stock In-Out'!A:A,Inventory!A388)</f>
        <v>0</v>
      </c>
      <c r="C388" s="8">
        <f>SUMIFS('Stock In-Out'!D:D,'Stock In-Out'!B:B,"In",'Stock In-Out'!A:A,Inventory!A388)</f>
        <v>0</v>
      </c>
      <c r="D388" s="8">
        <f>SUMIFS('Stock In-Out'!D:D,'Stock In-Out'!B:B,"Out",'Stock In-Out'!A:A,Inventory!A388)</f>
        <v>0</v>
      </c>
      <c r="E388" s="8">
        <f t="shared" si="7"/>
        <v>0</v>
      </c>
      <c r="F388" s="8" t="str">
        <f>IFERROR(VLOOKUP(A388,'Product Master'!D:N,10,0)*E388,"")</f>
        <v/>
      </c>
      <c r="G388" s="9" t="str">
        <f>IFERROR(VLOOKUP(A388,'Product Master'!D:N,11,0)*E388,"")</f>
        <v/>
      </c>
      <c r="H388" s="8">
        <f>SUMIFS('Product Master'!G:G,'Product Master'!D:D,Inventory!A388)+SUMIFS('Stock In-Out'!I:I,'Stock In-Out'!A:A,Inventory!A388)-SUMIFS('Stock In-Out'!J:J,'Stock In-Out'!A:A,Inventory!A388)</f>
        <v>0</v>
      </c>
      <c r="I388" s="8">
        <f>SUMIFS('Product Master'!H:H,'Product Master'!D:D,Inventory!A388)+SUMIFS('Stock In-Out'!K:K,'Stock In-Out'!A:A,Inventory!A388)-SUMIFS('Stock In-Out'!L:L,'Stock In-Out'!A:A,Inventory!A388)</f>
        <v>0</v>
      </c>
      <c r="J388" s="8">
        <f>SUMIFS('Product Master'!I:I,'Product Master'!D:D,Inventory!A388)+SUMIFS('Stock In-Out'!M:M,'Stock In-Out'!A:A,Inventory!A388)-SUMIFS('Stock In-Out'!N:N,'Stock In-Out'!A:A,Inventory!A388)</f>
        <v>0</v>
      </c>
      <c r="K388" s="8" t="str">
        <f>IFERROR(VLOOKUP(A388,'Product Master'!D:N,7,0),"")</f>
        <v/>
      </c>
      <c r="L388" s="6" t="str">
        <f>IFERROR(VLOOKUP(A388,'Product Master'!D385:F20384,3,0),"")</f>
        <v/>
      </c>
    </row>
    <row r="389" spans="1:12" x14ac:dyDescent="0.2">
      <c r="A389" s="1"/>
      <c r="B389" s="8">
        <f>SUMIFS('Stock In-Out'!D:D,'Stock In-Out'!B:B,"Opening Stock",'Stock In-Out'!A:A,Inventory!A389)</f>
        <v>0</v>
      </c>
      <c r="C389" s="8">
        <f>SUMIFS('Stock In-Out'!D:D,'Stock In-Out'!B:B,"In",'Stock In-Out'!A:A,Inventory!A389)</f>
        <v>0</v>
      </c>
      <c r="D389" s="8">
        <f>SUMIFS('Stock In-Out'!D:D,'Stock In-Out'!B:B,"Out",'Stock In-Out'!A:A,Inventory!A389)</f>
        <v>0</v>
      </c>
      <c r="E389" s="8">
        <f t="shared" si="7"/>
        <v>0</v>
      </c>
      <c r="F389" s="8" t="str">
        <f>IFERROR(VLOOKUP(A389,'Product Master'!D:N,10,0)*E389,"")</f>
        <v/>
      </c>
      <c r="G389" s="9" t="str">
        <f>IFERROR(VLOOKUP(A389,'Product Master'!D:N,11,0)*E389,"")</f>
        <v/>
      </c>
      <c r="H389" s="8">
        <f>SUMIFS('Product Master'!G:G,'Product Master'!D:D,Inventory!A389)+SUMIFS('Stock In-Out'!I:I,'Stock In-Out'!A:A,Inventory!A389)-SUMIFS('Stock In-Out'!J:J,'Stock In-Out'!A:A,Inventory!A389)</f>
        <v>0</v>
      </c>
      <c r="I389" s="8">
        <f>SUMIFS('Product Master'!H:H,'Product Master'!D:D,Inventory!A389)+SUMIFS('Stock In-Out'!K:K,'Stock In-Out'!A:A,Inventory!A389)-SUMIFS('Stock In-Out'!L:L,'Stock In-Out'!A:A,Inventory!A389)</f>
        <v>0</v>
      </c>
      <c r="J389" s="8">
        <f>SUMIFS('Product Master'!I:I,'Product Master'!D:D,Inventory!A389)+SUMIFS('Stock In-Out'!M:M,'Stock In-Out'!A:A,Inventory!A389)-SUMIFS('Stock In-Out'!N:N,'Stock In-Out'!A:A,Inventory!A389)</f>
        <v>0</v>
      </c>
      <c r="K389" s="8" t="str">
        <f>IFERROR(VLOOKUP(A389,'Product Master'!D:N,7,0),"")</f>
        <v/>
      </c>
      <c r="L389" s="6" t="str">
        <f>IFERROR(VLOOKUP(A389,'Product Master'!D386:F20385,3,0),"")</f>
        <v/>
      </c>
    </row>
    <row r="390" spans="1:12" x14ac:dyDescent="0.2">
      <c r="A390" s="1"/>
      <c r="B390" s="8">
        <f>SUMIFS('Stock In-Out'!D:D,'Stock In-Out'!B:B,"Opening Stock",'Stock In-Out'!A:A,Inventory!A390)</f>
        <v>0</v>
      </c>
      <c r="C390" s="8">
        <f>SUMIFS('Stock In-Out'!D:D,'Stock In-Out'!B:B,"In",'Stock In-Out'!A:A,Inventory!A390)</f>
        <v>0</v>
      </c>
      <c r="D390" s="8">
        <f>SUMIFS('Stock In-Out'!D:D,'Stock In-Out'!B:B,"Out",'Stock In-Out'!A:A,Inventory!A390)</f>
        <v>0</v>
      </c>
      <c r="E390" s="8">
        <f t="shared" si="7"/>
        <v>0</v>
      </c>
      <c r="F390" s="8" t="str">
        <f>IFERROR(VLOOKUP(A390,'Product Master'!D:N,10,0)*E390,"")</f>
        <v/>
      </c>
      <c r="G390" s="9" t="str">
        <f>IFERROR(VLOOKUP(A390,'Product Master'!D:N,11,0)*E390,"")</f>
        <v/>
      </c>
      <c r="H390" s="8">
        <f>SUMIFS('Product Master'!G:G,'Product Master'!D:D,Inventory!A390)+SUMIFS('Stock In-Out'!I:I,'Stock In-Out'!A:A,Inventory!A390)-SUMIFS('Stock In-Out'!J:J,'Stock In-Out'!A:A,Inventory!A390)</f>
        <v>0</v>
      </c>
      <c r="I390" s="8">
        <f>SUMIFS('Product Master'!H:H,'Product Master'!D:D,Inventory!A390)+SUMIFS('Stock In-Out'!K:K,'Stock In-Out'!A:A,Inventory!A390)-SUMIFS('Stock In-Out'!L:L,'Stock In-Out'!A:A,Inventory!A390)</f>
        <v>0</v>
      </c>
      <c r="J390" s="8">
        <f>SUMIFS('Product Master'!I:I,'Product Master'!D:D,Inventory!A390)+SUMIFS('Stock In-Out'!M:M,'Stock In-Out'!A:A,Inventory!A390)-SUMIFS('Stock In-Out'!N:N,'Stock In-Out'!A:A,Inventory!A390)</f>
        <v>0</v>
      </c>
      <c r="K390" s="8" t="str">
        <f>IFERROR(VLOOKUP(A390,'Product Master'!D:N,7,0),"")</f>
        <v/>
      </c>
      <c r="L390" s="6" t="str">
        <f>IFERROR(VLOOKUP(A390,'Product Master'!D387:F20386,3,0),"")</f>
        <v/>
      </c>
    </row>
    <row r="391" spans="1:12" x14ac:dyDescent="0.2">
      <c r="A391" s="1"/>
      <c r="B391" s="8">
        <f>SUMIFS('Stock In-Out'!D:D,'Stock In-Out'!B:B,"Opening Stock",'Stock In-Out'!A:A,Inventory!A391)</f>
        <v>0</v>
      </c>
      <c r="C391" s="8">
        <f>SUMIFS('Stock In-Out'!D:D,'Stock In-Out'!B:B,"In",'Stock In-Out'!A:A,Inventory!A391)</f>
        <v>0</v>
      </c>
      <c r="D391" s="8">
        <f>SUMIFS('Stock In-Out'!D:D,'Stock In-Out'!B:B,"Out",'Stock In-Out'!A:A,Inventory!A391)</f>
        <v>0</v>
      </c>
      <c r="E391" s="8">
        <f t="shared" si="7"/>
        <v>0</v>
      </c>
      <c r="F391" s="8" t="str">
        <f>IFERROR(VLOOKUP(A391,'Product Master'!D:N,10,0)*E391,"")</f>
        <v/>
      </c>
      <c r="G391" s="9" t="str">
        <f>IFERROR(VLOOKUP(A391,'Product Master'!D:N,11,0)*E391,"")</f>
        <v/>
      </c>
      <c r="H391" s="8">
        <f>SUMIFS('Product Master'!G:G,'Product Master'!D:D,Inventory!A391)+SUMIFS('Stock In-Out'!I:I,'Stock In-Out'!A:A,Inventory!A391)-SUMIFS('Stock In-Out'!J:J,'Stock In-Out'!A:A,Inventory!A391)</f>
        <v>0</v>
      </c>
      <c r="I391" s="8">
        <f>SUMIFS('Product Master'!H:H,'Product Master'!D:D,Inventory!A391)+SUMIFS('Stock In-Out'!K:K,'Stock In-Out'!A:A,Inventory!A391)-SUMIFS('Stock In-Out'!L:L,'Stock In-Out'!A:A,Inventory!A391)</f>
        <v>0</v>
      </c>
      <c r="J391" s="8">
        <f>SUMIFS('Product Master'!I:I,'Product Master'!D:D,Inventory!A391)+SUMIFS('Stock In-Out'!M:M,'Stock In-Out'!A:A,Inventory!A391)-SUMIFS('Stock In-Out'!N:N,'Stock In-Out'!A:A,Inventory!A391)</f>
        <v>0</v>
      </c>
      <c r="K391" s="8" t="str">
        <f>IFERROR(VLOOKUP(A391,'Product Master'!D:N,7,0),"")</f>
        <v/>
      </c>
      <c r="L391" s="6" t="str">
        <f>IFERROR(VLOOKUP(A391,'Product Master'!D388:F20387,3,0),"")</f>
        <v/>
      </c>
    </row>
    <row r="392" spans="1:12" x14ac:dyDescent="0.2">
      <c r="A392" s="1"/>
      <c r="B392" s="8">
        <f>SUMIFS('Stock In-Out'!D:D,'Stock In-Out'!B:B,"Opening Stock",'Stock In-Out'!A:A,Inventory!A392)</f>
        <v>0</v>
      </c>
      <c r="C392" s="8">
        <f>SUMIFS('Stock In-Out'!D:D,'Stock In-Out'!B:B,"In",'Stock In-Out'!A:A,Inventory!A392)</f>
        <v>0</v>
      </c>
      <c r="D392" s="8">
        <f>SUMIFS('Stock In-Out'!D:D,'Stock In-Out'!B:B,"Out",'Stock In-Out'!A:A,Inventory!A392)</f>
        <v>0</v>
      </c>
      <c r="E392" s="8">
        <f t="shared" si="7"/>
        <v>0</v>
      </c>
      <c r="F392" s="8" t="str">
        <f>IFERROR(VLOOKUP(A392,'Product Master'!D:N,10,0)*E392,"")</f>
        <v/>
      </c>
      <c r="G392" s="9" t="str">
        <f>IFERROR(VLOOKUP(A392,'Product Master'!D:N,11,0)*E392,"")</f>
        <v/>
      </c>
      <c r="H392" s="8">
        <f>SUMIFS('Product Master'!G:G,'Product Master'!D:D,Inventory!A392)+SUMIFS('Stock In-Out'!I:I,'Stock In-Out'!A:A,Inventory!A392)-SUMIFS('Stock In-Out'!J:J,'Stock In-Out'!A:A,Inventory!A392)</f>
        <v>0</v>
      </c>
      <c r="I392" s="8">
        <f>SUMIFS('Product Master'!H:H,'Product Master'!D:D,Inventory!A392)+SUMIFS('Stock In-Out'!K:K,'Stock In-Out'!A:A,Inventory!A392)-SUMIFS('Stock In-Out'!L:L,'Stock In-Out'!A:A,Inventory!A392)</f>
        <v>0</v>
      </c>
      <c r="J392" s="8">
        <f>SUMIFS('Product Master'!I:I,'Product Master'!D:D,Inventory!A392)+SUMIFS('Stock In-Out'!M:M,'Stock In-Out'!A:A,Inventory!A392)-SUMIFS('Stock In-Out'!N:N,'Stock In-Out'!A:A,Inventory!A392)</f>
        <v>0</v>
      </c>
      <c r="K392" s="8" t="str">
        <f>IFERROR(VLOOKUP(A392,'Product Master'!D:N,7,0),"")</f>
        <v/>
      </c>
      <c r="L392" s="6" t="str">
        <f>IFERROR(VLOOKUP(A392,'Product Master'!D389:F20388,3,0),"")</f>
        <v/>
      </c>
    </row>
    <row r="393" spans="1:12" x14ac:dyDescent="0.2">
      <c r="A393" s="1"/>
      <c r="B393" s="8">
        <f>SUMIFS('Stock In-Out'!D:D,'Stock In-Out'!B:B,"Opening Stock",'Stock In-Out'!A:A,Inventory!A393)</f>
        <v>0</v>
      </c>
      <c r="C393" s="8">
        <f>SUMIFS('Stock In-Out'!D:D,'Stock In-Out'!B:B,"In",'Stock In-Out'!A:A,Inventory!A393)</f>
        <v>0</v>
      </c>
      <c r="D393" s="8">
        <f>SUMIFS('Stock In-Out'!D:D,'Stock In-Out'!B:B,"Out",'Stock In-Out'!A:A,Inventory!A393)</f>
        <v>0</v>
      </c>
      <c r="E393" s="8">
        <f t="shared" si="7"/>
        <v>0</v>
      </c>
      <c r="F393" s="8" t="str">
        <f>IFERROR(VLOOKUP(A393,'Product Master'!D:N,10,0)*E393,"")</f>
        <v/>
      </c>
      <c r="G393" s="9" t="str">
        <f>IFERROR(VLOOKUP(A393,'Product Master'!D:N,11,0)*E393,"")</f>
        <v/>
      </c>
      <c r="H393" s="8">
        <f>SUMIFS('Product Master'!G:G,'Product Master'!D:D,Inventory!A393)+SUMIFS('Stock In-Out'!I:I,'Stock In-Out'!A:A,Inventory!A393)-SUMIFS('Stock In-Out'!J:J,'Stock In-Out'!A:A,Inventory!A393)</f>
        <v>0</v>
      </c>
      <c r="I393" s="8">
        <f>SUMIFS('Product Master'!H:H,'Product Master'!D:D,Inventory!A393)+SUMIFS('Stock In-Out'!K:K,'Stock In-Out'!A:A,Inventory!A393)-SUMIFS('Stock In-Out'!L:L,'Stock In-Out'!A:A,Inventory!A393)</f>
        <v>0</v>
      </c>
      <c r="J393" s="8">
        <f>SUMIFS('Product Master'!I:I,'Product Master'!D:D,Inventory!A393)+SUMIFS('Stock In-Out'!M:M,'Stock In-Out'!A:A,Inventory!A393)-SUMIFS('Stock In-Out'!N:N,'Stock In-Out'!A:A,Inventory!A393)</f>
        <v>0</v>
      </c>
      <c r="K393" s="8" t="str">
        <f>IFERROR(VLOOKUP(A393,'Product Master'!D:N,7,0),"")</f>
        <v/>
      </c>
      <c r="L393" s="6" t="str">
        <f>IFERROR(VLOOKUP(A393,'Product Master'!D390:F20389,3,0),"")</f>
        <v/>
      </c>
    </row>
    <row r="394" spans="1:12" x14ac:dyDescent="0.2">
      <c r="A394" s="1"/>
      <c r="B394" s="8">
        <f>SUMIFS('Stock In-Out'!D:D,'Stock In-Out'!B:B,"Opening Stock",'Stock In-Out'!A:A,Inventory!A394)</f>
        <v>0</v>
      </c>
      <c r="C394" s="8">
        <f>SUMIFS('Stock In-Out'!D:D,'Stock In-Out'!B:B,"In",'Stock In-Out'!A:A,Inventory!A394)</f>
        <v>0</v>
      </c>
      <c r="D394" s="8">
        <f>SUMIFS('Stock In-Out'!D:D,'Stock In-Out'!B:B,"Out",'Stock In-Out'!A:A,Inventory!A394)</f>
        <v>0</v>
      </c>
      <c r="E394" s="8">
        <f t="shared" si="7"/>
        <v>0</v>
      </c>
      <c r="F394" s="8" t="str">
        <f>IFERROR(VLOOKUP(A394,'Product Master'!D:N,10,0)*E394,"")</f>
        <v/>
      </c>
      <c r="G394" s="9" t="str">
        <f>IFERROR(VLOOKUP(A394,'Product Master'!D:N,11,0)*E394,"")</f>
        <v/>
      </c>
      <c r="H394" s="8">
        <f>SUMIFS('Product Master'!G:G,'Product Master'!D:D,Inventory!A394)+SUMIFS('Stock In-Out'!I:I,'Stock In-Out'!A:A,Inventory!A394)-SUMIFS('Stock In-Out'!J:J,'Stock In-Out'!A:A,Inventory!A394)</f>
        <v>0</v>
      </c>
      <c r="I394" s="8">
        <f>SUMIFS('Product Master'!H:H,'Product Master'!D:D,Inventory!A394)+SUMIFS('Stock In-Out'!K:K,'Stock In-Out'!A:A,Inventory!A394)-SUMIFS('Stock In-Out'!L:L,'Stock In-Out'!A:A,Inventory!A394)</f>
        <v>0</v>
      </c>
      <c r="J394" s="8">
        <f>SUMIFS('Product Master'!I:I,'Product Master'!D:D,Inventory!A394)+SUMIFS('Stock In-Out'!M:M,'Stock In-Out'!A:A,Inventory!A394)-SUMIFS('Stock In-Out'!N:N,'Stock In-Out'!A:A,Inventory!A394)</f>
        <v>0</v>
      </c>
      <c r="K394" s="8" t="str">
        <f>IFERROR(VLOOKUP(A394,'Product Master'!D:N,7,0),"")</f>
        <v/>
      </c>
      <c r="L394" s="6" t="str">
        <f>IFERROR(VLOOKUP(A394,'Product Master'!D391:F20390,3,0),"")</f>
        <v/>
      </c>
    </row>
    <row r="395" spans="1:12" x14ac:dyDescent="0.2">
      <c r="A395" s="1"/>
      <c r="B395" s="8">
        <f>SUMIFS('Stock In-Out'!D:D,'Stock In-Out'!B:B,"Opening Stock",'Stock In-Out'!A:A,Inventory!A395)</f>
        <v>0</v>
      </c>
      <c r="C395" s="8">
        <f>SUMIFS('Stock In-Out'!D:D,'Stock In-Out'!B:B,"In",'Stock In-Out'!A:A,Inventory!A395)</f>
        <v>0</v>
      </c>
      <c r="D395" s="8">
        <f>SUMIFS('Stock In-Out'!D:D,'Stock In-Out'!B:B,"Out",'Stock In-Out'!A:A,Inventory!A395)</f>
        <v>0</v>
      </c>
      <c r="E395" s="8">
        <f t="shared" si="7"/>
        <v>0</v>
      </c>
      <c r="F395" s="8" t="str">
        <f>IFERROR(VLOOKUP(A395,'Product Master'!D:N,10,0)*E395,"")</f>
        <v/>
      </c>
      <c r="G395" s="9" t="str">
        <f>IFERROR(VLOOKUP(A395,'Product Master'!D:N,11,0)*E395,"")</f>
        <v/>
      </c>
      <c r="H395" s="8">
        <f>SUMIFS('Product Master'!G:G,'Product Master'!D:D,Inventory!A395)+SUMIFS('Stock In-Out'!I:I,'Stock In-Out'!A:A,Inventory!A395)-SUMIFS('Stock In-Out'!J:J,'Stock In-Out'!A:A,Inventory!A395)</f>
        <v>0</v>
      </c>
      <c r="I395" s="8">
        <f>SUMIFS('Product Master'!H:H,'Product Master'!D:D,Inventory!A395)+SUMIFS('Stock In-Out'!K:K,'Stock In-Out'!A:A,Inventory!A395)-SUMIFS('Stock In-Out'!L:L,'Stock In-Out'!A:A,Inventory!A395)</f>
        <v>0</v>
      </c>
      <c r="J395" s="8">
        <f>SUMIFS('Product Master'!I:I,'Product Master'!D:D,Inventory!A395)+SUMIFS('Stock In-Out'!M:M,'Stock In-Out'!A:A,Inventory!A395)-SUMIFS('Stock In-Out'!N:N,'Stock In-Out'!A:A,Inventory!A395)</f>
        <v>0</v>
      </c>
      <c r="K395" s="8" t="str">
        <f>IFERROR(VLOOKUP(A395,'Product Master'!D:N,7,0),"")</f>
        <v/>
      </c>
      <c r="L395" s="6" t="str">
        <f>IFERROR(VLOOKUP(A395,'Product Master'!D392:F20391,3,0),"")</f>
        <v/>
      </c>
    </row>
    <row r="396" spans="1:12" x14ac:dyDescent="0.2">
      <c r="A396" s="1"/>
      <c r="B396" s="8">
        <f>SUMIFS('Stock In-Out'!D:D,'Stock In-Out'!B:B,"Opening Stock",'Stock In-Out'!A:A,Inventory!A396)</f>
        <v>0</v>
      </c>
      <c r="C396" s="8">
        <f>SUMIFS('Stock In-Out'!D:D,'Stock In-Out'!B:B,"In",'Stock In-Out'!A:A,Inventory!A396)</f>
        <v>0</v>
      </c>
      <c r="D396" s="8">
        <f>SUMIFS('Stock In-Out'!D:D,'Stock In-Out'!B:B,"Out",'Stock In-Out'!A:A,Inventory!A396)</f>
        <v>0</v>
      </c>
      <c r="E396" s="8">
        <f t="shared" si="7"/>
        <v>0</v>
      </c>
      <c r="F396" s="8" t="str">
        <f>IFERROR(VLOOKUP(A396,'Product Master'!D:N,10,0)*E396,"")</f>
        <v/>
      </c>
      <c r="G396" s="9" t="str">
        <f>IFERROR(VLOOKUP(A396,'Product Master'!D:N,11,0)*E396,"")</f>
        <v/>
      </c>
      <c r="H396" s="8">
        <f>SUMIFS('Product Master'!G:G,'Product Master'!D:D,Inventory!A396)+SUMIFS('Stock In-Out'!I:I,'Stock In-Out'!A:A,Inventory!A396)-SUMIFS('Stock In-Out'!J:J,'Stock In-Out'!A:A,Inventory!A396)</f>
        <v>0</v>
      </c>
      <c r="I396" s="8">
        <f>SUMIFS('Product Master'!H:H,'Product Master'!D:D,Inventory!A396)+SUMIFS('Stock In-Out'!K:K,'Stock In-Out'!A:A,Inventory!A396)-SUMIFS('Stock In-Out'!L:L,'Stock In-Out'!A:A,Inventory!A396)</f>
        <v>0</v>
      </c>
      <c r="J396" s="8">
        <f>SUMIFS('Product Master'!I:I,'Product Master'!D:D,Inventory!A396)+SUMIFS('Stock In-Out'!M:M,'Stock In-Out'!A:A,Inventory!A396)-SUMIFS('Stock In-Out'!N:N,'Stock In-Out'!A:A,Inventory!A396)</f>
        <v>0</v>
      </c>
      <c r="K396" s="8" t="str">
        <f>IFERROR(VLOOKUP(A396,'Product Master'!D:N,7,0),"")</f>
        <v/>
      </c>
      <c r="L396" s="6" t="str">
        <f>IFERROR(VLOOKUP(A396,'Product Master'!D393:F20392,3,0),"")</f>
        <v/>
      </c>
    </row>
    <row r="397" spans="1:12" x14ac:dyDescent="0.2">
      <c r="A397" s="1"/>
      <c r="B397" s="8">
        <f>SUMIFS('Stock In-Out'!D:D,'Stock In-Out'!B:B,"Opening Stock",'Stock In-Out'!A:A,Inventory!A397)</f>
        <v>0</v>
      </c>
      <c r="C397" s="8">
        <f>SUMIFS('Stock In-Out'!D:D,'Stock In-Out'!B:B,"In",'Stock In-Out'!A:A,Inventory!A397)</f>
        <v>0</v>
      </c>
      <c r="D397" s="8">
        <f>SUMIFS('Stock In-Out'!D:D,'Stock In-Out'!B:B,"Out",'Stock In-Out'!A:A,Inventory!A397)</f>
        <v>0</v>
      </c>
      <c r="E397" s="8">
        <f t="shared" si="7"/>
        <v>0</v>
      </c>
      <c r="F397" s="8" t="str">
        <f>IFERROR(VLOOKUP(A397,'Product Master'!D:N,10,0)*E397,"")</f>
        <v/>
      </c>
      <c r="G397" s="9" t="str">
        <f>IFERROR(VLOOKUP(A397,'Product Master'!D:N,11,0)*E397,"")</f>
        <v/>
      </c>
      <c r="H397" s="8">
        <f>SUMIFS('Product Master'!G:G,'Product Master'!D:D,Inventory!A397)+SUMIFS('Stock In-Out'!I:I,'Stock In-Out'!A:A,Inventory!A397)-SUMIFS('Stock In-Out'!J:J,'Stock In-Out'!A:A,Inventory!A397)</f>
        <v>0</v>
      </c>
      <c r="I397" s="8">
        <f>SUMIFS('Product Master'!H:H,'Product Master'!D:D,Inventory!A397)+SUMIFS('Stock In-Out'!K:K,'Stock In-Out'!A:A,Inventory!A397)-SUMIFS('Stock In-Out'!L:L,'Stock In-Out'!A:A,Inventory!A397)</f>
        <v>0</v>
      </c>
      <c r="J397" s="8">
        <f>SUMIFS('Product Master'!I:I,'Product Master'!D:D,Inventory!A397)+SUMIFS('Stock In-Out'!M:M,'Stock In-Out'!A:A,Inventory!A397)-SUMIFS('Stock In-Out'!N:N,'Stock In-Out'!A:A,Inventory!A397)</f>
        <v>0</v>
      </c>
      <c r="K397" s="8" t="str">
        <f>IFERROR(VLOOKUP(A397,'Product Master'!D:N,7,0),"")</f>
        <v/>
      </c>
      <c r="L397" s="6" t="str">
        <f>IFERROR(VLOOKUP(A397,'Product Master'!D394:F20393,3,0),"")</f>
        <v/>
      </c>
    </row>
    <row r="398" spans="1:12" x14ac:dyDescent="0.2">
      <c r="A398" s="1"/>
      <c r="B398" s="8">
        <f>SUMIFS('Stock In-Out'!D:D,'Stock In-Out'!B:B,"Opening Stock",'Stock In-Out'!A:A,Inventory!A398)</f>
        <v>0</v>
      </c>
      <c r="C398" s="8">
        <f>SUMIFS('Stock In-Out'!D:D,'Stock In-Out'!B:B,"In",'Stock In-Out'!A:A,Inventory!A398)</f>
        <v>0</v>
      </c>
      <c r="D398" s="8">
        <f>SUMIFS('Stock In-Out'!D:D,'Stock In-Out'!B:B,"Out",'Stock In-Out'!A:A,Inventory!A398)</f>
        <v>0</v>
      </c>
      <c r="E398" s="8">
        <f t="shared" si="7"/>
        <v>0</v>
      </c>
      <c r="F398" s="8" t="str">
        <f>IFERROR(VLOOKUP(A398,'Product Master'!D:N,10,0)*E398,"")</f>
        <v/>
      </c>
      <c r="G398" s="9" t="str">
        <f>IFERROR(VLOOKUP(A398,'Product Master'!D:N,11,0)*E398,"")</f>
        <v/>
      </c>
      <c r="H398" s="8">
        <f>SUMIFS('Product Master'!G:G,'Product Master'!D:D,Inventory!A398)+SUMIFS('Stock In-Out'!I:I,'Stock In-Out'!A:A,Inventory!A398)-SUMIFS('Stock In-Out'!J:J,'Stock In-Out'!A:A,Inventory!A398)</f>
        <v>0</v>
      </c>
      <c r="I398" s="8">
        <f>SUMIFS('Product Master'!H:H,'Product Master'!D:D,Inventory!A398)+SUMIFS('Stock In-Out'!K:K,'Stock In-Out'!A:A,Inventory!A398)-SUMIFS('Stock In-Out'!L:L,'Stock In-Out'!A:A,Inventory!A398)</f>
        <v>0</v>
      </c>
      <c r="J398" s="8">
        <f>SUMIFS('Product Master'!I:I,'Product Master'!D:D,Inventory!A398)+SUMIFS('Stock In-Out'!M:M,'Stock In-Out'!A:A,Inventory!A398)-SUMIFS('Stock In-Out'!N:N,'Stock In-Out'!A:A,Inventory!A398)</f>
        <v>0</v>
      </c>
      <c r="K398" s="8" t="str">
        <f>IFERROR(VLOOKUP(A398,'Product Master'!D:N,7,0),"")</f>
        <v/>
      </c>
      <c r="L398" s="6" t="str">
        <f>IFERROR(VLOOKUP(A398,'Product Master'!D395:F20394,3,0),"")</f>
        <v/>
      </c>
    </row>
    <row r="399" spans="1:12" x14ac:dyDescent="0.2">
      <c r="A399" s="1"/>
      <c r="B399" s="8">
        <f>SUMIFS('Stock In-Out'!D:D,'Stock In-Out'!B:B,"Opening Stock",'Stock In-Out'!A:A,Inventory!A399)</f>
        <v>0</v>
      </c>
      <c r="C399" s="8">
        <f>SUMIFS('Stock In-Out'!D:D,'Stock In-Out'!B:B,"In",'Stock In-Out'!A:A,Inventory!A399)</f>
        <v>0</v>
      </c>
      <c r="D399" s="8">
        <f>SUMIFS('Stock In-Out'!D:D,'Stock In-Out'!B:B,"Out",'Stock In-Out'!A:A,Inventory!A399)</f>
        <v>0</v>
      </c>
      <c r="E399" s="8">
        <f t="shared" si="7"/>
        <v>0</v>
      </c>
      <c r="F399" s="8" t="str">
        <f>IFERROR(VLOOKUP(A399,'Product Master'!D:N,10,0)*E399,"")</f>
        <v/>
      </c>
      <c r="G399" s="9" t="str">
        <f>IFERROR(VLOOKUP(A399,'Product Master'!D:N,11,0)*E399,"")</f>
        <v/>
      </c>
      <c r="H399" s="8">
        <f>SUMIFS('Product Master'!G:G,'Product Master'!D:D,Inventory!A399)+SUMIFS('Stock In-Out'!I:I,'Stock In-Out'!A:A,Inventory!A399)-SUMIFS('Stock In-Out'!J:J,'Stock In-Out'!A:A,Inventory!A399)</f>
        <v>0</v>
      </c>
      <c r="I399" s="8">
        <f>SUMIFS('Product Master'!H:H,'Product Master'!D:D,Inventory!A399)+SUMIFS('Stock In-Out'!K:K,'Stock In-Out'!A:A,Inventory!A399)-SUMIFS('Stock In-Out'!L:L,'Stock In-Out'!A:A,Inventory!A399)</f>
        <v>0</v>
      </c>
      <c r="J399" s="8">
        <f>SUMIFS('Product Master'!I:I,'Product Master'!D:D,Inventory!A399)+SUMIFS('Stock In-Out'!M:M,'Stock In-Out'!A:A,Inventory!A399)-SUMIFS('Stock In-Out'!N:N,'Stock In-Out'!A:A,Inventory!A399)</f>
        <v>0</v>
      </c>
      <c r="K399" s="8" t="str">
        <f>IFERROR(VLOOKUP(A399,'Product Master'!D:N,7,0),"")</f>
        <v/>
      </c>
      <c r="L399" s="6" t="str">
        <f>IFERROR(VLOOKUP(A399,'Product Master'!D396:F20395,3,0),"")</f>
        <v/>
      </c>
    </row>
    <row r="400" spans="1:12" x14ac:dyDescent="0.2">
      <c r="A400" s="1"/>
      <c r="B400" s="8">
        <f>SUMIFS('Stock In-Out'!D:D,'Stock In-Out'!B:B,"Opening Stock",'Stock In-Out'!A:A,Inventory!A400)</f>
        <v>0</v>
      </c>
      <c r="C400" s="8">
        <f>SUMIFS('Stock In-Out'!D:D,'Stock In-Out'!B:B,"In",'Stock In-Out'!A:A,Inventory!A400)</f>
        <v>0</v>
      </c>
      <c r="D400" s="8">
        <f>SUMIFS('Stock In-Out'!D:D,'Stock In-Out'!B:B,"Out",'Stock In-Out'!A:A,Inventory!A400)</f>
        <v>0</v>
      </c>
      <c r="E400" s="8">
        <f t="shared" si="7"/>
        <v>0</v>
      </c>
      <c r="F400" s="8" t="str">
        <f>IFERROR(VLOOKUP(A400,'Product Master'!D:N,10,0)*E400,"")</f>
        <v/>
      </c>
      <c r="G400" s="9" t="str">
        <f>IFERROR(VLOOKUP(A400,'Product Master'!D:N,11,0)*E400,"")</f>
        <v/>
      </c>
      <c r="H400" s="8">
        <f>SUMIFS('Product Master'!G:G,'Product Master'!D:D,Inventory!A400)+SUMIFS('Stock In-Out'!I:I,'Stock In-Out'!A:A,Inventory!A400)-SUMIFS('Stock In-Out'!J:J,'Stock In-Out'!A:A,Inventory!A400)</f>
        <v>0</v>
      </c>
      <c r="I400" s="8">
        <f>SUMIFS('Product Master'!H:H,'Product Master'!D:D,Inventory!A400)+SUMIFS('Stock In-Out'!K:K,'Stock In-Out'!A:A,Inventory!A400)-SUMIFS('Stock In-Out'!L:L,'Stock In-Out'!A:A,Inventory!A400)</f>
        <v>0</v>
      </c>
      <c r="J400" s="8">
        <f>SUMIFS('Product Master'!I:I,'Product Master'!D:D,Inventory!A400)+SUMIFS('Stock In-Out'!M:M,'Stock In-Out'!A:A,Inventory!A400)-SUMIFS('Stock In-Out'!N:N,'Stock In-Out'!A:A,Inventory!A400)</f>
        <v>0</v>
      </c>
      <c r="K400" s="8" t="str">
        <f>IFERROR(VLOOKUP(A400,'Product Master'!D:N,7,0),"")</f>
        <v/>
      </c>
      <c r="L400" s="6" t="str">
        <f>IFERROR(VLOOKUP(A400,'Product Master'!D397:F20396,3,0),"")</f>
        <v/>
      </c>
    </row>
    <row r="401" spans="1:12" x14ac:dyDescent="0.2">
      <c r="A401" s="1"/>
      <c r="B401" s="8">
        <f>SUMIFS('Stock In-Out'!D:D,'Stock In-Out'!B:B,"Opening Stock",'Stock In-Out'!A:A,Inventory!A401)</f>
        <v>0</v>
      </c>
      <c r="C401" s="8">
        <f>SUMIFS('Stock In-Out'!D:D,'Stock In-Out'!B:B,"In",'Stock In-Out'!A:A,Inventory!A401)</f>
        <v>0</v>
      </c>
      <c r="D401" s="8">
        <f>SUMIFS('Stock In-Out'!D:D,'Stock In-Out'!B:B,"Out",'Stock In-Out'!A:A,Inventory!A401)</f>
        <v>0</v>
      </c>
      <c r="E401" s="8">
        <f t="shared" si="7"/>
        <v>0</v>
      </c>
      <c r="F401" s="8" t="str">
        <f>IFERROR(VLOOKUP(A401,'Product Master'!D:N,10,0)*E401,"")</f>
        <v/>
      </c>
      <c r="G401" s="9" t="str">
        <f>IFERROR(VLOOKUP(A401,'Product Master'!D:N,11,0)*E401,"")</f>
        <v/>
      </c>
      <c r="H401" s="8">
        <f>SUMIFS('Product Master'!G:G,'Product Master'!D:D,Inventory!A401)+SUMIFS('Stock In-Out'!I:I,'Stock In-Out'!A:A,Inventory!A401)-SUMIFS('Stock In-Out'!J:J,'Stock In-Out'!A:A,Inventory!A401)</f>
        <v>0</v>
      </c>
      <c r="I401" s="8">
        <f>SUMIFS('Product Master'!H:H,'Product Master'!D:D,Inventory!A401)+SUMIFS('Stock In-Out'!K:K,'Stock In-Out'!A:A,Inventory!A401)-SUMIFS('Stock In-Out'!L:L,'Stock In-Out'!A:A,Inventory!A401)</f>
        <v>0</v>
      </c>
      <c r="J401" s="8">
        <f>SUMIFS('Product Master'!I:I,'Product Master'!D:D,Inventory!A401)+SUMIFS('Stock In-Out'!M:M,'Stock In-Out'!A:A,Inventory!A401)-SUMIFS('Stock In-Out'!N:N,'Stock In-Out'!A:A,Inventory!A401)</f>
        <v>0</v>
      </c>
      <c r="K401" s="8" t="str">
        <f>IFERROR(VLOOKUP(A401,'Product Master'!D:N,7,0),"")</f>
        <v/>
      </c>
      <c r="L401" s="6" t="str">
        <f>IFERROR(VLOOKUP(A401,'Product Master'!D398:F20397,3,0),"")</f>
        <v/>
      </c>
    </row>
    <row r="402" spans="1:12" x14ac:dyDescent="0.2">
      <c r="A402" s="1"/>
      <c r="B402" s="8">
        <f>SUMIFS('Stock In-Out'!D:D,'Stock In-Out'!B:B,"Opening Stock",'Stock In-Out'!A:A,Inventory!A402)</f>
        <v>0</v>
      </c>
      <c r="C402" s="8">
        <f>SUMIFS('Stock In-Out'!D:D,'Stock In-Out'!B:B,"In",'Stock In-Out'!A:A,Inventory!A402)</f>
        <v>0</v>
      </c>
      <c r="D402" s="8">
        <f>SUMIFS('Stock In-Out'!D:D,'Stock In-Out'!B:B,"Out",'Stock In-Out'!A:A,Inventory!A402)</f>
        <v>0</v>
      </c>
      <c r="E402" s="8">
        <f t="shared" si="7"/>
        <v>0</v>
      </c>
      <c r="F402" s="8" t="str">
        <f>IFERROR(VLOOKUP(A402,'Product Master'!D:N,10,0)*E402,"")</f>
        <v/>
      </c>
      <c r="G402" s="9" t="str">
        <f>IFERROR(VLOOKUP(A402,'Product Master'!D:N,11,0)*E402,"")</f>
        <v/>
      </c>
      <c r="H402" s="8">
        <f>SUMIFS('Product Master'!G:G,'Product Master'!D:D,Inventory!A402)+SUMIFS('Stock In-Out'!I:I,'Stock In-Out'!A:A,Inventory!A402)-SUMIFS('Stock In-Out'!J:J,'Stock In-Out'!A:A,Inventory!A402)</f>
        <v>0</v>
      </c>
      <c r="I402" s="8">
        <f>SUMIFS('Product Master'!H:H,'Product Master'!D:D,Inventory!A402)+SUMIFS('Stock In-Out'!K:K,'Stock In-Out'!A:A,Inventory!A402)-SUMIFS('Stock In-Out'!L:L,'Stock In-Out'!A:A,Inventory!A402)</f>
        <v>0</v>
      </c>
      <c r="J402" s="8">
        <f>SUMIFS('Product Master'!I:I,'Product Master'!D:D,Inventory!A402)+SUMIFS('Stock In-Out'!M:M,'Stock In-Out'!A:A,Inventory!A402)-SUMIFS('Stock In-Out'!N:N,'Stock In-Out'!A:A,Inventory!A402)</f>
        <v>0</v>
      </c>
      <c r="K402" s="8" t="str">
        <f>IFERROR(VLOOKUP(A402,'Product Master'!D:N,7,0),"")</f>
        <v/>
      </c>
      <c r="L402" s="6" t="str">
        <f>IFERROR(VLOOKUP(A402,'Product Master'!D399:F20398,3,0),"")</f>
        <v/>
      </c>
    </row>
    <row r="403" spans="1:12" x14ac:dyDescent="0.2">
      <c r="A403" s="1"/>
      <c r="B403" s="8">
        <f>SUMIFS('Stock In-Out'!D:D,'Stock In-Out'!B:B,"Opening Stock",'Stock In-Out'!A:A,Inventory!A403)</f>
        <v>0</v>
      </c>
      <c r="C403" s="8">
        <f>SUMIFS('Stock In-Out'!D:D,'Stock In-Out'!B:B,"In",'Stock In-Out'!A:A,Inventory!A403)</f>
        <v>0</v>
      </c>
      <c r="D403" s="8">
        <f>SUMIFS('Stock In-Out'!D:D,'Stock In-Out'!B:B,"Out",'Stock In-Out'!A:A,Inventory!A403)</f>
        <v>0</v>
      </c>
      <c r="E403" s="8">
        <f t="shared" si="7"/>
        <v>0</v>
      </c>
      <c r="F403" s="8" t="str">
        <f>IFERROR(VLOOKUP(A403,'Product Master'!D:N,10,0)*E403,"")</f>
        <v/>
      </c>
      <c r="G403" s="9" t="str">
        <f>IFERROR(VLOOKUP(A403,'Product Master'!D:N,11,0)*E403,"")</f>
        <v/>
      </c>
      <c r="H403" s="8">
        <f>SUMIFS('Product Master'!G:G,'Product Master'!D:D,Inventory!A403)+SUMIFS('Stock In-Out'!I:I,'Stock In-Out'!A:A,Inventory!A403)-SUMIFS('Stock In-Out'!J:J,'Stock In-Out'!A:A,Inventory!A403)</f>
        <v>0</v>
      </c>
      <c r="I403" s="8">
        <f>SUMIFS('Product Master'!H:H,'Product Master'!D:D,Inventory!A403)+SUMIFS('Stock In-Out'!K:K,'Stock In-Out'!A:A,Inventory!A403)-SUMIFS('Stock In-Out'!L:L,'Stock In-Out'!A:A,Inventory!A403)</f>
        <v>0</v>
      </c>
      <c r="J403" s="8">
        <f>SUMIFS('Product Master'!I:I,'Product Master'!D:D,Inventory!A403)+SUMIFS('Stock In-Out'!M:M,'Stock In-Out'!A:A,Inventory!A403)-SUMIFS('Stock In-Out'!N:N,'Stock In-Out'!A:A,Inventory!A403)</f>
        <v>0</v>
      </c>
      <c r="K403" s="8" t="str">
        <f>IFERROR(VLOOKUP(A403,'Product Master'!D:N,7,0),"")</f>
        <v/>
      </c>
    </row>
    <row r="404" spans="1:12" x14ac:dyDescent="0.2">
      <c r="A404" s="1"/>
      <c r="B404" s="8">
        <f>SUMIFS('Stock In-Out'!D:D,'Stock In-Out'!B:B,"Opening Stock",'Stock In-Out'!A:A,Inventory!A404)</f>
        <v>0</v>
      </c>
      <c r="C404" s="8">
        <f>SUMIFS('Stock In-Out'!D:D,'Stock In-Out'!B:B,"In",'Stock In-Out'!A:A,Inventory!A404)</f>
        <v>0</v>
      </c>
      <c r="D404" s="8">
        <f>SUMIFS('Stock In-Out'!D:D,'Stock In-Out'!B:B,"Out",'Stock In-Out'!A:A,Inventory!A404)</f>
        <v>0</v>
      </c>
      <c r="E404" s="8">
        <f t="shared" si="7"/>
        <v>0</v>
      </c>
      <c r="F404" s="8" t="str">
        <f>IFERROR(VLOOKUP(A404,'Product Master'!D:N,10,0)*E404,"")</f>
        <v/>
      </c>
      <c r="G404" s="9" t="str">
        <f>IFERROR(VLOOKUP(A404,'Product Master'!D:N,11,0)*E404,"")</f>
        <v/>
      </c>
      <c r="H404" s="8">
        <f>SUMIFS('Product Master'!G:G,'Product Master'!D:D,Inventory!A404)+SUMIFS('Stock In-Out'!I:I,'Stock In-Out'!A:A,Inventory!A404)-SUMIFS('Stock In-Out'!J:J,'Stock In-Out'!A:A,Inventory!A404)</f>
        <v>0</v>
      </c>
      <c r="I404" s="8">
        <f>SUMIFS('Product Master'!H:H,'Product Master'!D:D,Inventory!A404)+SUMIFS('Stock In-Out'!K:K,'Stock In-Out'!A:A,Inventory!A404)-SUMIFS('Stock In-Out'!L:L,'Stock In-Out'!A:A,Inventory!A404)</f>
        <v>0</v>
      </c>
      <c r="J404" s="8">
        <f>SUMIFS('Product Master'!I:I,'Product Master'!D:D,Inventory!A404)+SUMIFS('Stock In-Out'!M:M,'Stock In-Out'!A:A,Inventory!A404)-SUMIFS('Stock In-Out'!N:N,'Stock In-Out'!A:A,Inventory!A404)</f>
        <v>0</v>
      </c>
      <c r="K404" s="8" t="str">
        <f>IFERROR(VLOOKUP(A404,'Product Master'!D:N,7,0),"")</f>
        <v/>
      </c>
    </row>
    <row r="405" spans="1:12" x14ac:dyDescent="0.2">
      <c r="A405" s="1"/>
      <c r="B405" s="8">
        <f>SUMIFS('Stock In-Out'!D:D,'Stock In-Out'!B:B,"Opening Stock",'Stock In-Out'!A:A,Inventory!A405)</f>
        <v>0</v>
      </c>
      <c r="C405" s="8">
        <f>SUMIFS('Stock In-Out'!D:D,'Stock In-Out'!B:B,"In",'Stock In-Out'!A:A,Inventory!A405)</f>
        <v>0</v>
      </c>
      <c r="D405" s="8">
        <f>SUMIFS('Stock In-Out'!D:D,'Stock In-Out'!B:B,"Out",'Stock In-Out'!A:A,Inventory!A405)</f>
        <v>0</v>
      </c>
      <c r="E405" s="8">
        <f t="shared" si="7"/>
        <v>0</v>
      </c>
      <c r="F405" s="8" t="str">
        <f>IFERROR(VLOOKUP(A405,'Product Master'!D:N,10,0)*E405,"")</f>
        <v/>
      </c>
      <c r="G405" s="9" t="str">
        <f>IFERROR(VLOOKUP(A405,'Product Master'!D:N,11,0)*E405,"")</f>
        <v/>
      </c>
      <c r="H405" s="8">
        <f>SUMIFS('Product Master'!G:G,'Product Master'!D:D,Inventory!A405)+SUMIFS('Stock In-Out'!I:I,'Stock In-Out'!A:A,Inventory!A405)-SUMIFS('Stock In-Out'!J:J,'Stock In-Out'!A:A,Inventory!A405)</f>
        <v>0</v>
      </c>
      <c r="I405" s="8">
        <f>SUMIFS('Product Master'!H:H,'Product Master'!D:D,Inventory!A405)+SUMIFS('Stock In-Out'!K:K,'Stock In-Out'!A:A,Inventory!A405)-SUMIFS('Stock In-Out'!L:L,'Stock In-Out'!A:A,Inventory!A405)</f>
        <v>0</v>
      </c>
      <c r="J405" s="8">
        <f>SUMIFS('Product Master'!I:I,'Product Master'!D:D,Inventory!A405)+SUMIFS('Stock In-Out'!M:M,'Stock In-Out'!A:A,Inventory!A405)-SUMIFS('Stock In-Out'!N:N,'Stock In-Out'!A:A,Inventory!A405)</f>
        <v>0</v>
      </c>
      <c r="K405" s="8" t="str">
        <f>IFERROR(VLOOKUP(A405,'Product Master'!D:N,7,0),"")</f>
        <v/>
      </c>
    </row>
    <row r="406" spans="1:12" x14ac:dyDescent="0.2">
      <c r="A406" s="1"/>
      <c r="B406" s="8">
        <f>SUMIFS('Stock In-Out'!D:D,'Stock In-Out'!B:B,"Opening Stock",'Stock In-Out'!A:A,Inventory!A406)</f>
        <v>0</v>
      </c>
      <c r="C406" s="8">
        <f>SUMIFS('Stock In-Out'!D:D,'Stock In-Out'!B:B,"In",'Stock In-Out'!A:A,Inventory!A406)</f>
        <v>0</v>
      </c>
      <c r="D406" s="8">
        <f>SUMIFS('Stock In-Out'!D:D,'Stock In-Out'!B:B,"Out",'Stock In-Out'!A:A,Inventory!A406)</f>
        <v>0</v>
      </c>
      <c r="E406" s="8">
        <f t="shared" si="7"/>
        <v>0</v>
      </c>
      <c r="F406" s="8" t="str">
        <f>IFERROR(VLOOKUP(A406,'Product Master'!D:N,10,0)*E406,"")</f>
        <v/>
      </c>
      <c r="G406" s="9" t="str">
        <f>IFERROR(VLOOKUP(A406,'Product Master'!D:N,11,0)*E406,"")</f>
        <v/>
      </c>
      <c r="H406" s="8">
        <f>SUMIFS('Product Master'!G:G,'Product Master'!D:D,Inventory!A406)+SUMIFS('Stock In-Out'!I:I,'Stock In-Out'!A:A,Inventory!A406)-SUMIFS('Stock In-Out'!J:J,'Stock In-Out'!A:A,Inventory!A406)</f>
        <v>0</v>
      </c>
      <c r="I406" s="8">
        <f>SUMIFS('Product Master'!H:H,'Product Master'!D:D,Inventory!A406)+SUMIFS('Stock In-Out'!K:K,'Stock In-Out'!A:A,Inventory!A406)-SUMIFS('Stock In-Out'!L:L,'Stock In-Out'!A:A,Inventory!A406)</f>
        <v>0</v>
      </c>
      <c r="J406" s="8">
        <f>SUMIFS('Product Master'!I:I,'Product Master'!D:D,Inventory!A406)+SUMIFS('Stock In-Out'!M:M,'Stock In-Out'!A:A,Inventory!A406)-SUMIFS('Stock In-Out'!N:N,'Stock In-Out'!A:A,Inventory!A406)</f>
        <v>0</v>
      </c>
      <c r="K406" s="8" t="str">
        <f>IFERROR(VLOOKUP(A406,'Product Master'!D:N,7,0),"")</f>
        <v/>
      </c>
    </row>
    <row r="407" spans="1:12" x14ac:dyDescent="0.2">
      <c r="A407" s="1"/>
      <c r="B407" s="8">
        <f>SUMIFS('Stock In-Out'!D:D,'Stock In-Out'!B:B,"Opening Stock",'Stock In-Out'!A:A,Inventory!A407)</f>
        <v>0</v>
      </c>
      <c r="C407" s="8">
        <f>SUMIFS('Stock In-Out'!D:D,'Stock In-Out'!B:B,"In",'Stock In-Out'!A:A,Inventory!A407)</f>
        <v>0</v>
      </c>
      <c r="D407" s="8">
        <f>SUMIFS('Stock In-Out'!D:D,'Stock In-Out'!B:B,"Out",'Stock In-Out'!A:A,Inventory!A407)</f>
        <v>0</v>
      </c>
      <c r="E407" s="8">
        <f t="shared" si="7"/>
        <v>0</v>
      </c>
      <c r="F407" s="8" t="str">
        <f>IFERROR(VLOOKUP(A407,'Product Master'!D:N,10,0)*E407,"")</f>
        <v/>
      </c>
      <c r="G407" s="9" t="str">
        <f>IFERROR(VLOOKUP(A407,'Product Master'!D:N,11,0)*E407,"")</f>
        <v/>
      </c>
      <c r="H407" s="8">
        <f>SUMIFS('Product Master'!G:G,'Product Master'!D:D,Inventory!A407)+SUMIFS('Stock In-Out'!I:I,'Stock In-Out'!A:A,Inventory!A407)-SUMIFS('Stock In-Out'!J:J,'Stock In-Out'!A:A,Inventory!A407)</f>
        <v>0</v>
      </c>
      <c r="I407" s="8">
        <f>SUMIFS('Product Master'!H:H,'Product Master'!D:D,Inventory!A407)+SUMIFS('Stock In-Out'!K:K,'Stock In-Out'!A:A,Inventory!A407)-SUMIFS('Stock In-Out'!L:L,'Stock In-Out'!A:A,Inventory!A407)</f>
        <v>0</v>
      </c>
      <c r="J407" s="8">
        <f>SUMIFS('Product Master'!I:I,'Product Master'!D:D,Inventory!A407)+SUMIFS('Stock In-Out'!M:M,'Stock In-Out'!A:A,Inventory!A407)-SUMIFS('Stock In-Out'!N:N,'Stock In-Out'!A:A,Inventory!A407)</f>
        <v>0</v>
      </c>
      <c r="K407" s="8" t="str">
        <f>IFERROR(VLOOKUP(A407,'Product Master'!D:N,7,0),"")</f>
        <v/>
      </c>
    </row>
    <row r="408" spans="1:12" x14ac:dyDescent="0.2">
      <c r="A408" s="1"/>
      <c r="B408" s="8">
        <f>SUMIFS('Stock In-Out'!D:D,'Stock In-Out'!B:B,"Opening Stock",'Stock In-Out'!A:A,Inventory!A408)</f>
        <v>0</v>
      </c>
      <c r="C408" s="8">
        <f>SUMIFS('Stock In-Out'!D:D,'Stock In-Out'!B:B,"In",'Stock In-Out'!A:A,Inventory!A408)</f>
        <v>0</v>
      </c>
      <c r="D408" s="8">
        <f>SUMIFS('Stock In-Out'!D:D,'Stock In-Out'!B:B,"Out",'Stock In-Out'!A:A,Inventory!A408)</f>
        <v>0</v>
      </c>
      <c r="E408" s="8">
        <f t="shared" si="7"/>
        <v>0</v>
      </c>
      <c r="F408" s="8" t="str">
        <f>IFERROR(VLOOKUP(A408,'Product Master'!D:N,10,0)*E408,"")</f>
        <v/>
      </c>
      <c r="G408" s="9" t="str">
        <f>IFERROR(VLOOKUP(A408,'Product Master'!D:N,11,0)*E408,"")</f>
        <v/>
      </c>
      <c r="H408" s="8">
        <f>SUMIFS('Product Master'!G:G,'Product Master'!D:D,Inventory!A408)+SUMIFS('Stock In-Out'!I:I,'Stock In-Out'!A:A,Inventory!A408)-SUMIFS('Stock In-Out'!J:J,'Stock In-Out'!A:A,Inventory!A408)</f>
        <v>0</v>
      </c>
      <c r="I408" s="8">
        <f>SUMIFS('Product Master'!H:H,'Product Master'!D:D,Inventory!A408)+SUMIFS('Stock In-Out'!K:K,'Stock In-Out'!A:A,Inventory!A408)-SUMIFS('Stock In-Out'!L:L,'Stock In-Out'!A:A,Inventory!A408)</f>
        <v>0</v>
      </c>
      <c r="J408" s="8">
        <f>SUMIFS('Product Master'!I:I,'Product Master'!D:D,Inventory!A408)+SUMIFS('Stock In-Out'!M:M,'Stock In-Out'!A:A,Inventory!A408)-SUMIFS('Stock In-Out'!N:N,'Stock In-Out'!A:A,Inventory!A408)</f>
        <v>0</v>
      </c>
      <c r="K408" s="8" t="str">
        <f>IFERROR(VLOOKUP(A408,'Product Master'!D:N,7,0),"")</f>
        <v/>
      </c>
    </row>
    <row r="409" spans="1:12" x14ac:dyDescent="0.2">
      <c r="A409" s="1"/>
      <c r="B409" s="8">
        <f>SUMIFS('Stock In-Out'!D:D,'Stock In-Out'!B:B,"Opening Stock",'Stock In-Out'!A:A,Inventory!A409)</f>
        <v>0</v>
      </c>
      <c r="C409" s="8">
        <f>SUMIFS('Stock In-Out'!D:D,'Stock In-Out'!B:B,"In",'Stock In-Out'!A:A,Inventory!A409)</f>
        <v>0</v>
      </c>
      <c r="D409" s="8">
        <f>SUMIFS('Stock In-Out'!D:D,'Stock In-Out'!B:B,"Out",'Stock In-Out'!A:A,Inventory!A409)</f>
        <v>0</v>
      </c>
      <c r="E409" s="8">
        <f t="shared" si="7"/>
        <v>0</v>
      </c>
      <c r="F409" s="8" t="str">
        <f>IFERROR(VLOOKUP(A409,'Product Master'!D:N,10,0)*E409,"")</f>
        <v/>
      </c>
      <c r="G409" s="9" t="str">
        <f>IFERROR(VLOOKUP(A409,'Product Master'!D:N,11,0)*E409,"")</f>
        <v/>
      </c>
      <c r="H409" s="8">
        <f>SUMIFS('Product Master'!G:G,'Product Master'!D:D,Inventory!A409)+SUMIFS('Stock In-Out'!I:I,'Stock In-Out'!A:A,Inventory!A409)-SUMIFS('Stock In-Out'!J:J,'Stock In-Out'!A:A,Inventory!A409)</f>
        <v>0</v>
      </c>
      <c r="I409" s="8">
        <f>SUMIFS('Product Master'!H:H,'Product Master'!D:D,Inventory!A409)+SUMIFS('Stock In-Out'!K:K,'Stock In-Out'!A:A,Inventory!A409)-SUMIFS('Stock In-Out'!L:L,'Stock In-Out'!A:A,Inventory!A409)</f>
        <v>0</v>
      </c>
      <c r="J409" s="8">
        <f>SUMIFS('Product Master'!I:I,'Product Master'!D:D,Inventory!A409)+SUMIFS('Stock In-Out'!M:M,'Stock In-Out'!A:A,Inventory!A409)-SUMIFS('Stock In-Out'!N:N,'Stock In-Out'!A:A,Inventory!A409)</f>
        <v>0</v>
      </c>
      <c r="K409" s="8" t="str">
        <f>IFERROR(VLOOKUP(A409,'Product Master'!D:N,7,0),"")</f>
        <v/>
      </c>
    </row>
    <row r="410" spans="1:12" x14ac:dyDescent="0.2">
      <c r="A410" s="1"/>
      <c r="B410" s="8">
        <f>SUMIFS('Stock In-Out'!D:D,'Stock In-Out'!B:B,"Opening Stock",'Stock In-Out'!A:A,Inventory!A410)</f>
        <v>0</v>
      </c>
      <c r="C410" s="8">
        <f>SUMIFS('Stock In-Out'!D:D,'Stock In-Out'!B:B,"In",'Stock In-Out'!A:A,Inventory!A410)</f>
        <v>0</v>
      </c>
      <c r="D410" s="8">
        <f>SUMIFS('Stock In-Out'!D:D,'Stock In-Out'!B:B,"Out",'Stock In-Out'!A:A,Inventory!A410)</f>
        <v>0</v>
      </c>
      <c r="E410" s="8">
        <f t="shared" si="7"/>
        <v>0</v>
      </c>
      <c r="F410" s="8" t="str">
        <f>IFERROR(VLOOKUP(A410,'Product Master'!D:N,10,0)*E410,"")</f>
        <v/>
      </c>
      <c r="G410" s="9" t="str">
        <f>IFERROR(VLOOKUP(A410,'Product Master'!D:N,11,0)*E410,"")</f>
        <v/>
      </c>
      <c r="H410" s="8">
        <f>SUMIFS('Product Master'!G:G,'Product Master'!D:D,Inventory!A410)+SUMIFS('Stock In-Out'!I:I,'Stock In-Out'!A:A,Inventory!A410)-SUMIFS('Stock In-Out'!J:J,'Stock In-Out'!A:A,Inventory!A410)</f>
        <v>0</v>
      </c>
      <c r="I410" s="8">
        <f>SUMIFS('Product Master'!H:H,'Product Master'!D:D,Inventory!A410)+SUMIFS('Stock In-Out'!K:K,'Stock In-Out'!A:A,Inventory!A410)-SUMIFS('Stock In-Out'!L:L,'Stock In-Out'!A:A,Inventory!A410)</f>
        <v>0</v>
      </c>
      <c r="J410" s="8">
        <f>SUMIFS('Product Master'!I:I,'Product Master'!D:D,Inventory!A410)+SUMIFS('Stock In-Out'!M:M,'Stock In-Out'!A:A,Inventory!A410)-SUMIFS('Stock In-Out'!N:N,'Stock In-Out'!A:A,Inventory!A410)</f>
        <v>0</v>
      </c>
      <c r="K410" s="8" t="str">
        <f>IFERROR(VLOOKUP(A410,'Product Master'!D:N,7,0),"")</f>
        <v/>
      </c>
    </row>
    <row r="411" spans="1:12" x14ac:dyDescent="0.2">
      <c r="A411" s="1"/>
      <c r="B411" s="8">
        <f>SUMIFS('Stock In-Out'!D:D,'Stock In-Out'!B:B,"Opening Stock",'Stock In-Out'!A:A,Inventory!A411)</f>
        <v>0</v>
      </c>
      <c r="C411" s="8">
        <f>SUMIFS('Stock In-Out'!D:D,'Stock In-Out'!B:B,"In",'Stock In-Out'!A:A,Inventory!A411)</f>
        <v>0</v>
      </c>
      <c r="D411" s="8">
        <f>SUMIFS('Stock In-Out'!D:D,'Stock In-Out'!B:B,"Out",'Stock In-Out'!A:A,Inventory!A411)</f>
        <v>0</v>
      </c>
      <c r="E411" s="8">
        <f t="shared" si="7"/>
        <v>0</v>
      </c>
      <c r="F411" s="8" t="str">
        <f>IFERROR(VLOOKUP(A411,'Product Master'!D:N,10,0)*E411,"")</f>
        <v/>
      </c>
      <c r="G411" s="9" t="str">
        <f>IFERROR(VLOOKUP(A411,'Product Master'!D:N,11,0)*E411,"")</f>
        <v/>
      </c>
      <c r="H411" s="8">
        <f>SUMIFS('Product Master'!G:G,'Product Master'!D:D,Inventory!A411)+SUMIFS('Stock In-Out'!I:I,'Stock In-Out'!A:A,Inventory!A411)-SUMIFS('Stock In-Out'!J:J,'Stock In-Out'!A:A,Inventory!A411)</f>
        <v>0</v>
      </c>
      <c r="I411" s="8">
        <f>SUMIFS('Product Master'!H:H,'Product Master'!D:D,Inventory!A411)+SUMIFS('Stock In-Out'!K:K,'Stock In-Out'!A:A,Inventory!A411)-SUMIFS('Stock In-Out'!L:L,'Stock In-Out'!A:A,Inventory!A411)</f>
        <v>0</v>
      </c>
      <c r="J411" s="8">
        <f>SUMIFS('Product Master'!I:I,'Product Master'!D:D,Inventory!A411)+SUMIFS('Stock In-Out'!M:M,'Stock In-Out'!A:A,Inventory!A411)-SUMIFS('Stock In-Out'!N:N,'Stock In-Out'!A:A,Inventory!A411)</f>
        <v>0</v>
      </c>
      <c r="K411" s="8" t="str">
        <f>IFERROR(VLOOKUP(A411,'Product Master'!D:N,7,0),"")</f>
        <v/>
      </c>
    </row>
    <row r="412" spans="1:12" x14ac:dyDescent="0.2">
      <c r="A412" s="1"/>
      <c r="B412" s="8">
        <f>SUMIFS('Stock In-Out'!D:D,'Stock In-Out'!B:B,"Opening Stock",'Stock In-Out'!A:A,Inventory!A412)</f>
        <v>0</v>
      </c>
      <c r="C412" s="8">
        <f>SUMIFS('Stock In-Out'!D:D,'Stock In-Out'!B:B,"In",'Stock In-Out'!A:A,Inventory!A412)</f>
        <v>0</v>
      </c>
      <c r="D412" s="8">
        <f>SUMIFS('Stock In-Out'!D:D,'Stock In-Out'!B:B,"Out",'Stock In-Out'!A:A,Inventory!A412)</f>
        <v>0</v>
      </c>
      <c r="E412" s="8">
        <f t="shared" si="7"/>
        <v>0</v>
      </c>
      <c r="F412" s="8" t="str">
        <f>IFERROR(VLOOKUP(A412,'Product Master'!D:N,10,0)*E412,"")</f>
        <v/>
      </c>
      <c r="G412" s="9" t="str">
        <f>IFERROR(VLOOKUP(A412,'Product Master'!D:N,11,0)*E412,"")</f>
        <v/>
      </c>
      <c r="H412" s="8">
        <f>SUMIFS('Product Master'!G:G,'Product Master'!D:D,Inventory!A412)+SUMIFS('Stock In-Out'!I:I,'Stock In-Out'!A:A,Inventory!A412)-SUMIFS('Stock In-Out'!J:J,'Stock In-Out'!A:A,Inventory!A412)</f>
        <v>0</v>
      </c>
      <c r="I412" s="8">
        <f>SUMIFS('Product Master'!H:H,'Product Master'!D:D,Inventory!A412)+SUMIFS('Stock In-Out'!K:K,'Stock In-Out'!A:A,Inventory!A412)-SUMIFS('Stock In-Out'!L:L,'Stock In-Out'!A:A,Inventory!A412)</f>
        <v>0</v>
      </c>
      <c r="J412" s="8">
        <f>SUMIFS('Product Master'!I:I,'Product Master'!D:D,Inventory!A412)+SUMIFS('Stock In-Out'!M:M,'Stock In-Out'!A:A,Inventory!A412)-SUMIFS('Stock In-Out'!N:N,'Stock In-Out'!A:A,Inventory!A412)</f>
        <v>0</v>
      </c>
      <c r="K412" s="8" t="str">
        <f>IFERROR(VLOOKUP(A412,'Product Master'!D:N,7,0),"")</f>
        <v/>
      </c>
    </row>
    <row r="413" spans="1:12" x14ac:dyDescent="0.2">
      <c r="A413" s="1"/>
      <c r="B413" s="8">
        <f>SUMIFS('Stock In-Out'!D:D,'Stock In-Out'!B:B,"Opening Stock",'Stock In-Out'!A:A,Inventory!A413)</f>
        <v>0</v>
      </c>
      <c r="C413" s="8">
        <f>SUMIFS('Stock In-Out'!D:D,'Stock In-Out'!B:B,"In",'Stock In-Out'!A:A,Inventory!A413)</f>
        <v>0</v>
      </c>
      <c r="D413" s="8">
        <f>SUMIFS('Stock In-Out'!D:D,'Stock In-Out'!B:B,"Out",'Stock In-Out'!A:A,Inventory!A413)</f>
        <v>0</v>
      </c>
      <c r="E413" s="8">
        <f t="shared" si="7"/>
        <v>0</v>
      </c>
      <c r="F413" s="8" t="str">
        <f>IFERROR(VLOOKUP(A413,'Product Master'!D:N,10,0)*E413,"")</f>
        <v/>
      </c>
      <c r="G413" s="9" t="str">
        <f>IFERROR(VLOOKUP(A413,'Product Master'!D:N,11,0)*E413,"")</f>
        <v/>
      </c>
      <c r="H413" s="8">
        <f>SUMIFS('Product Master'!G:G,'Product Master'!D:D,Inventory!A413)+SUMIFS('Stock In-Out'!I:I,'Stock In-Out'!A:A,Inventory!A413)-SUMIFS('Stock In-Out'!J:J,'Stock In-Out'!A:A,Inventory!A413)</f>
        <v>0</v>
      </c>
      <c r="I413" s="8">
        <f>SUMIFS('Product Master'!H:H,'Product Master'!D:D,Inventory!A413)+SUMIFS('Stock In-Out'!K:K,'Stock In-Out'!A:A,Inventory!A413)-SUMIFS('Stock In-Out'!L:L,'Stock In-Out'!A:A,Inventory!A413)</f>
        <v>0</v>
      </c>
      <c r="J413" s="8">
        <f>SUMIFS('Product Master'!I:I,'Product Master'!D:D,Inventory!A413)+SUMIFS('Stock In-Out'!M:M,'Stock In-Out'!A:A,Inventory!A413)-SUMIFS('Stock In-Out'!N:N,'Stock In-Out'!A:A,Inventory!A413)</f>
        <v>0</v>
      </c>
      <c r="K413" s="8" t="str">
        <f>IFERROR(VLOOKUP(A413,'Product Master'!D:N,7,0),"")</f>
        <v/>
      </c>
    </row>
    <row r="414" spans="1:12" x14ac:dyDescent="0.2">
      <c r="A414" s="1"/>
      <c r="B414" s="8">
        <f>SUMIFS('Stock In-Out'!D:D,'Stock In-Out'!B:B,"Opening Stock",'Stock In-Out'!A:A,Inventory!A414)</f>
        <v>0</v>
      </c>
      <c r="C414" s="8">
        <f>SUMIFS('Stock In-Out'!D:D,'Stock In-Out'!B:B,"In",'Stock In-Out'!A:A,Inventory!A414)</f>
        <v>0</v>
      </c>
      <c r="D414" s="8">
        <f>SUMIFS('Stock In-Out'!D:D,'Stock In-Out'!B:B,"Out",'Stock In-Out'!A:A,Inventory!A414)</f>
        <v>0</v>
      </c>
      <c r="E414" s="8">
        <f t="shared" si="7"/>
        <v>0</v>
      </c>
      <c r="F414" s="8" t="str">
        <f>IFERROR(VLOOKUP(A414,'Product Master'!D:N,10,0)*E414,"")</f>
        <v/>
      </c>
      <c r="G414" s="9" t="str">
        <f>IFERROR(VLOOKUP(A414,'Product Master'!D:N,11,0)*E414,"")</f>
        <v/>
      </c>
      <c r="H414" s="8">
        <f>SUMIFS('Product Master'!G:G,'Product Master'!D:D,Inventory!A414)+SUMIFS('Stock In-Out'!I:I,'Stock In-Out'!A:A,Inventory!A414)-SUMIFS('Stock In-Out'!J:J,'Stock In-Out'!A:A,Inventory!A414)</f>
        <v>0</v>
      </c>
      <c r="I414" s="8">
        <f>SUMIFS('Product Master'!H:H,'Product Master'!D:D,Inventory!A414)+SUMIFS('Stock In-Out'!K:K,'Stock In-Out'!A:A,Inventory!A414)-SUMIFS('Stock In-Out'!L:L,'Stock In-Out'!A:A,Inventory!A414)</f>
        <v>0</v>
      </c>
      <c r="J414" s="8">
        <f>SUMIFS('Product Master'!I:I,'Product Master'!D:D,Inventory!A414)+SUMIFS('Stock In-Out'!M:M,'Stock In-Out'!A:A,Inventory!A414)-SUMIFS('Stock In-Out'!N:N,'Stock In-Out'!A:A,Inventory!A414)</f>
        <v>0</v>
      </c>
      <c r="K414" s="8" t="str">
        <f>IFERROR(VLOOKUP(A414,'Product Master'!D:N,7,0),"")</f>
        <v/>
      </c>
    </row>
    <row r="415" spans="1:12" x14ac:dyDescent="0.2">
      <c r="A415" s="1"/>
      <c r="B415" s="8">
        <f>SUMIFS('Stock In-Out'!D:D,'Stock In-Out'!B:B,"Opening Stock",'Stock In-Out'!A:A,Inventory!A415)</f>
        <v>0</v>
      </c>
      <c r="C415" s="8">
        <f>SUMIFS('Stock In-Out'!D:D,'Stock In-Out'!B:B,"In",'Stock In-Out'!A:A,Inventory!A415)</f>
        <v>0</v>
      </c>
      <c r="D415" s="8">
        <f>SUMIFS('Stock In-Out'!D:D,'Stock In-Out'!B:B,"Out",'Stock In-Out'!A:A,Inventory!A415)</f>
        <v>0</v>
      </c>
      <c r="E415" s="8">
        <f t="shared" si="7"/>
        <v>0</v>
      </c>
      <c r="F415" s="8" t="str">
        <f>IFERROR(VLOOKUP(A415,'Product Master'!D:N,10,0)*E415,"")</f>
        <v/>
      </c>
      <c r="G415" s="9" t="str">
        <f>IFERROR(VLOOKUP(A415,'Product Master'!D:N,11,0)*E415,"")</f>
        <v/>
      </c>
      <c r="H415" s="8">
        <f>SUMIFS('Product Master'!G:G,'Product Master'!D:D,Inventory!A415)+SUMIFS('Stock In-Out'!I:I,'Stock In-Out'!A:A,Inventory!A415)-SUMIFS('Stock In-Out'!J:J,'Stock In-Out'!A:A,Inventory!A415)</f>
        <v>0</v>
      </c>
      <c r="I415" s="8">
        <f>SUMIFS('Product Master'!H:H,'Product Master'!D:D,Inventory!A415)+SUMIFS('Stock In-Out'!K:K,'Stock In-Out'!A:A,Inventory!A415)-SUMIFS('Stock In-Out'!L:L,'Stock In-Out'!A:A,Inventory!A415)</f>
        <v>0</v>
      </c>
      <c r="J415" s="8">
        <f>SUMIFS('Product Master'!I:I,'Product Master'!D:D,Inventory!A415)+SUMIFS('Stock In-Out'!M:M,'Stock In-Out'!A:A,Inventory!A415)-SUMIFS('Stock In-Out'!N:N,'Stock In-Out'!A:A,Inventory!A415)</f>
        <v>0</v>
      </c>
      <c r="K415" s="8" t="str">
        <f>IFERROR(VLOOKUP(A415,'Product Master'!D:N,7,0),"")</f>
        <v/>
      </c>
    </row>
    <row r="416" spans="1:12" x14ac:dyDescent="0.2">
      <c r="A416" s="1"/>
      <c r="B416" s="8">
        <f>SUMIFS('Stock In-Out'!D:D,'Stock In-Out'!B:B,"Opening Stock",'Stock In-Out'!A:A,Inventory!A416)</f>
        <v>0</v>
      </c>
      <c r="C416" s="8">
        <f>SUMIFS('Stock In-Out'!D:D,'Stock In-Out'!B:B,"In",'Stock In-Out'!A:A,Inventory!A416)</f>
        <v>0</v>
      </c>
      <c r="D416" s="8">
        <f>SUMIFS('Stock In-Out'!D:D,'Stock In-Out'!B:B,"Out",'Stock In-Out'!A:A,Inventory!A416)</f>
        <v>0</v>
      </c>
      <c r="E416" s="8">
        <f t="shared" si="7"/>
        <v>0</v>
      </c>
      <c r="F416" s="8" t="str">
        <f>IFERROR(VLOOKUP(A416,'Product Master'!D:N,10,0)*E416,"")</f>
        <v/>
      </c>
      <c r="G416" s="9" t="str">
        <f>IFERROR(VLOOKUP(A416,'Product Master'!D:N,11,0)*E416,"")</f>
        <v/>
      </c>
      <c r="H416" s="8">
        <f>SUMIFS('Product Master'!G:G,'Product Master'!D:D,Inventory!A416)+SUMIFS('Stock In-Out'!I:I,'Stock In-Out'!A:A,Inventory!A416)-SUMIFS('Stock In-Out'!J:J,'Stock In-Out'!A:A,Inventory!A416)</f>
        <v>0</v>
      </c>
      <c r="I416" s="8">
        <f>SUMIFS('Product Master'!H:H,'Product Master'!D:D,Inventory!A416)+SUMIFS('Stock In-Out'!K:K,'Stock In-Out'!A:A,Inventory!A416)-SUMIFS('Stock In-Out'!L:L,'Stock In-Out'!A:A,Inventory!A416)</f>
        <v>0</v>
      </c>
      <c r="J416" s="8">
        <f>SUMIFS('Product Master'!I:I,'Product Master'!D:D,Inventory!A416)+SUMIFS('Stock In-Out'!M:M,'Stock In-Out'!A:A,Inventory!A416)-SUMIFS('Stock In-Out'!N:N,'Stock In-Out'!A:A,Inventory!A416)</f>
        <v>0</v>
      </c>
      <c r="K416" s="8" t="str">
        <f>IFERROR(VLOOKUP(A416,'Product Master'!D:N,7,0),"")</f>
        <v/>
      </c>
    </row>
    <row r="417" spans="1:11" x14ac:dyDescent="0.2">
      <c r="A417" s="1"/>
      <c r="B417" s="8">
        <f>SUMIFS('Stock In-Out'!D:D,'Stock In-Out'!B:B,"Opening Stock",'Stock In-Out'!A:A,Inventory!A417)</f>
        <v>0</v>
      </c>
      <c r="C417" s="8">
        <f>SUMIFS('Stock In-Out'!D:D,'Stock In-Out'!B:B,"In",'Stock In-Out'!A:A,Inventory!A417)</f>
        <v>0</v>
      </c>
      <c r="D417" s="8">
        <f>SUMIFS('Stock In-Out'!D:D,'Stock In-Out'!B:B,"Out",'Stock In-Out'!A:A,Inventory!A417)</f>
        <v>0</v>
      </c>
      <c r="E417" s="8">
        <f t="shared" si="7"/>
        <v>0</v>
      </c>
      <c r="F417" s="8" t="str">
        <f>IFERROR(VLOOKUP(A417,'Product Master'!D:N,10,0)*E417,"")</f>
        <v/>
      </c>
      <c r="G417" s="9" t="str">
        <f>IFERROR(VLOOKUP(A417,'Product Master'!D:N,11,0)*E417,"")</f>
        <v/>
      </c>
      <c r="H417" s="8">
        <f>SUMIFS('Product Master'!G:G,'Product Master'!D:D,Inventory!A417)+SUMIFS('Stock In-Out'!I:I,'Stock In-Out'!A:A,Inventory!A417)-SUMIFS('Stock In-Out'!J:J,'Stock In-Out'!A:A,Inventory!A417)</f>
        <v>0</v>
      </c>
      <c r="I417" s="8">
        <f>SUMIFS('Product Master'!H:H,'Product Master'!D:D,Inventory!A417)+SUMIFS('Stock In-Out'!K:K,'Stock In-Out'!A:A,Inventory!A417)-SUMIFS('Stock In-Out'!L:L,'Stock In-Out'!A:A,Inventory!A417)</f>
        <v>0</v>
      </c>
      <c r="J417" s="8">
        <f>SUMIFS('Product Master'!I:I,'Product Master'!D:D,Inventory!A417)+SUMIFS('Stock In-Out'!M:M,'Stock In-Out'!A:A,Inventory!A417)-SUMIFS('Stock In-Out'!N:N,'Stock In-Out'!A:A,Inventory!A417)</f>
        <v>0</v>
      </c>
      <c r="K417" s="8" t="str">
        <f>IFERROR(VLOOKUP(A417,'Product Master'!D:N,7,0),"")</f>
        <v/>
      </c>
    </row>
    <row r="418" spans="1:11" x14ac:dyDescent="0.2">
      <c r="A418" s="1"/>
      <c r="B418" s="8">
        <f>SUMIFS('Stock In-Out'!D:D,'Stock In-Out'!B:B,"Opening Stock",'Stock In-Out'!A:A,Inventory!A418)</f>
        <v>0</v>
      </c>
      <c r="C418" s="8">
        <f>SUMIFS('Stock In-Out'!D:D,'Stock In-Out'!B:B,"In",'Stock In-Out'!A:A,Inventory!A418)</f>
        <v>0</v>
      </c>
      <c r="D418" s="8">
        <f>SUMIFS('Stock In-Out'!D:D,'Stock In-Out'!B:B,"Out",'Stock In-Out'!A:A,Inventory!A418)</f>
        <v>0</v>
      </c>
      <c r="E418" s="8">
        <f t="shared" si="7"/>
        <v>0</v>
      </c>
      <c r="F418" s="8" t="str">
        <f>IFERROR(VLOOKUP(A418,'Product Master'!D:N,10,0)*E418,"")</f>
        <v/>
      </c>
      <c r="G418" s="9" t="str">
        <f>IFERROR(VLOOKUP(A418,'Product Master'!D:N,11,0)*E418,"")</f>
        <v/>
      </c>
      <c r="H418" s="8">
        <f>SUMIFS('Product Master'!G:G,'Product Master'!D:D,Inventory!A418)+SUMIFS('Stock In-Out'!I:I,'Stock In-Out'!A:A,Inventory!A418)-SUMIFS('Stock In-Out'!J:J,'Stock In-Out'!A:A,Inventory!A418)</f>
        <v>0</v>
      </c>
      <c r="I418" s="8">
        <f>SUMIFS('Product Master'!H:H,'Product Master'!D:D,Inventory!A418)+SUMIFS('Stock In-Out'!K:K,'Stock In-Out'!A:A,Inventory!A418)-SUMIFS('Stock In-Out'!L:L,'Stock In-Out'!A:A,Inventory!A418)</f>
        <v>0</v>
      </c>
      <c r="J418" s="8">
        <f>SUMIFS('Product Master'!I:I,'Product Master'!D:D,Inventory!A418)+SUMIFS('Stock In-Out'!M:M,'Stock In-Out'!A:A,Inventory!A418)-SUMIFS('Stock In-Out'!N:N,'Stock In-Out'!A:A,Inventory!A418)</f>
        <v>0</v>
      </c>
      <c r="K418" s="8" t="str">
        <f>IFERROR(VLOOKUP(A418,'Product Master'!D:N,7,0),"")</f>
        <v/>
      </c>
    </row>
    <row r="419" spans="1:11" x14ac:dyDescent="0.2">
      <c r="A419" s="1"/>
      <c r="B419" s="8">
        <f>SUMIFS('Stock In-Out'!D:D,'Stock In-Out'!B:B,"Opening Stock",'Stock In-Out'!A:A,Inventory!A419)</f>
        <v>0</v>
      </c>
      <c r="C419" s="8">
        <f>SUMIFS('Stock In-Out'!D:D,'Stock In-Out'!B:B,"In",'Stock In-Out'!A:A,Inventory!A419)</f>
        <v>0</v>
      </c>
      <c r="D419" s="8">
        <f>SUMIFS('Stock In-Out'!D:D,'Stock In-Out'!B:B,"Out",'Stock In-Out'!A:A,Inventory!A419)</f>
        <v>0</v>
      </c>
      <c r="E419" s="8">
        <f t="shared" si="7"/>
        <v>0</v>
      </c>
      <c r="F419" s="8" t="str">
        <f>IFERROR(VLOOKUP(A419,'Product Master'!D:N,10,0)*E419,"")</f>
        <v/>
      </c>
      <c r="G419" s="9" t="str">
        <f>IFERROR(VLOOKUP(A419,'Product Master'!D:N,11,0)*E419,"")</f>
        <v/>
      </c>
      <c r="H419" s="8">
        <f>SUMIFS('Product Master'!G:G,'Product Master'!D:D,Inventory!A419)+SUMIFS('Stock In-Out'!I:I,'Stock In-Out'!A:A,Inventory!A419)-SUMIFS('Stock In-Out'!J:J,'Stock In-Out'!A:A,Inventory!A419)</f>
        <v>0</v>
      </c>
      <c r="I419" s="8">
        <f>SUMIFS('Product Master'!H:H,'Product Master'!D:D,Inventory!A419)+SUMIFS('Stock In-Out'!K:K,'Stock In-Out'!A:A,Inventory!A419)-SUMIFS('Stock In-Out'!L:L,'Stock In-Out'!A:A,Inventory!A419)</f>
        <v>0</v>
      </c>
      <c r="J419" s="8">
        <f>SUMIFS('Product Master'!I:I,'Product Master'!D:D,Inventory!A419)+SUMIFS('Stock In-Out'!M:M,'Stock In-Out'!A:A,Inventory!A419)-SUMIFS('Stock In-Out'!N:N,'Stock In-Out'!A:A,Inventory!A419)</f>
        <v>0</v>
      </c>
      <c r="K419" s="8" t="str">
        <f>IFERROR(VLOOKUP(A419,'Product Master'!D:N,7,0),"")</f>
        <v/>
      </c>
    </row>
    <row r="420" spans="1:11" x14ac:dyDescent="0.2">
      <c r="A420" s="1"/>
      <c r="B420" s="8">
        <f>SUMIFS('Stock In-Out'!D:D,'Stock In-Out'!B:B,"Opening Stock",'Stock In-Out'!A:A,Inventory!A420)</f>
        <v>0</v>
      </c>
      <c r="C420" s="8">
        <f>SUMIFS('Stock In-Out'!D:D,'Stock In-Out'!B:B,"In",'Stock In-Out'!A:A,Inventory!A420)</f>
        <v>0</v>
      </c>
      <c r="D420" s="8">
        <f>SUMIFS('Stock In-Out'!D:D,'Stock In-Out'!B:B,"Out",'Stock In-Out'!A:A,Inventory!A420)</f>
        <v>0</v>
      </c>
      <c r="E420" s="8">
        <f t="shared" si="7"/>
        <v>0</v>
      </c>
      <c r="F420" s="8" t="str">
        <f>IFERROR(VLOOKUP(A420,'Product Master'!D:N,10,0)*E420,"")</f>
        <v/>
      </c>
      <c r="G420" s="9" t="str">
        <f>IFERROR(VLOOKUP(A420,'Product Master'!D:N,11,0)*E420,"")</f>
        <v/>
      </c>
      <c r="H420" s="8">
        <f>SUMIFS('Product Master'!G:G,'Product Master'!D:D,Inventory!A420)+SUMIFS('Stock In-Out'!I:I,'Stock In-Out'!A:A,Inventory!A420)-SUMIFS('Stock In-Out'!J:J,'Stock In-Out'!A:A,Inventory!A420)</f>
        <v>0</v>
      </c>
      <c r="I420" s="8">
        <f>SUMIFS('Product Master'!H:H,'Product Master'!D:D,Inventory!A420)+SUMIFS('Stock In-Out'!K:K,'Stock In-Out'!A:A,Inventory!A420)-SUMIFS('Stock In-Out'!L:L,'Stock In-Out'!A:A,Inventory!A420)</f>
        <v>0</v>
      </c>
      <c r="J420" s="8">
        <f>SUMIFS('Product Master'!I:I,'Product Master'!D:D,Inventory!A420)+SUMIFS('Stock In-Out'!M:M,'Stock In-Out'!A:A,Inventory!A420)-SUMIFS('Stock In-Out'!N:N,'Stock In-Out'!A:A,Inventory!A420)</f>
        <v>0</v>
      </c>
      <c r="K420" s="8" t="str">
        <f>IFERROR(VLOOKUP(A420,'Product Master'!D:N,7,0),"")</f>
        <v/>
      </c>
    </row>
    <row r="421" spans="1:11" x14ac:dyDescent="0.2">
      <c r="A421" s="1"/>
      <c r="B421" s="8">
        <f>SUMIFS('Stock In-Out'!D:D,'Stock In-Out'!B:B,"Opening Stock",'Stock In-Out'!A:A,Inventory!A421)</f>
        <v>0</v>
      </c>
      <c r="C421" s="8">
        <f>SUMIFS('Stock In-Out'!D:D,'Stock In-Out'!B:B,"In",'Stock In-Out'!A:A,Inventory!A421)</f>
        <v>0</v>
      </c>
      <c r="D421" s="8">
        <f>SUMIFS('Stock In-Out'!D:D,'Stock In-Out'!B:B,"Out",'Stock In-Out'!A:A,Inventory!A421)</f>
        <v>0</v>
      </c>
      <c r="E421" s="8">
        <f t="shared" si="7"/>
        <v>0</v>
      </c>
      <c r="F421" s="8" t="str">
        <f>IFERROR(VLOOKUP(A421,'Product Master'!D:N,10,0)*E421,"")</f>
        <v/>
      </c>
      <c r="G421" s="9" t="str">
        <f>IFERROR(VLOOKUP(A421,'Product Master'!D:N,11,0)*E421,"")</f>
        <v/>
      </c>
      <c r="H421" s="8">
        <f>SUMIFS('Product Master'!G:G,'Product Master'!D:D,Inventory!A421)+SUMIFS('Stock In-Out'!I:I,'Stock In-Out'!A:A,Inventory!A421)-SUMIFS('Stock In-Out'!J:J,'Stock In-Out'!A:A,Inventory!A421)</f>
        <v>0</v>
      </c>
      <c r="I421" s="8">
        <f>SUMIFS('Product Master'!H:H,'Product Master'!D:D,Inventory!A421)+SUMIFS('Stock In-Out'!K:K,'Stock In-Out'!A:A,Inventory!A421)-SUMIFS('Stock In-Out'!L:L,'Stock In-Out'!A:A,Inventory!A421)</f>
        <v>0</v>
      </c>
      <c r="J421" s="8">
        <f>SUMIFS('Product Master'!I:I,'Product Master'!D:D,Inventory!A421)+SUMIFS('Stock In-Out'!M:M,'Stock In-Out'!A:A,Inventory!A421)-SUMIFS('Stock In-Out'!N:N,'Stock In-Out'!A:A,Inventory!A421)</f>
        <v>0</v>
      </c>
      <c r="K421" s="8" t="str">
        <f>IFERROR(VLOOKUP(A421,'Product Master'!D:N,7,0),"")</f>
        <v/>
      </c>
    </row>
    <row r="422" spans="1:11" x14ac:dyDescent="0.2">
      <c r="A422" s="1"/>
      <c r="B422" s="8">
        <f>SUMIFS('Stock In-Out'!D:D,'Stock In-Out'!B:B,"Opening Stock",'Stock In-Out'!A:A,Inventory!A422)</f>
        <v>0</v>
      </c>
      <c r="C422" s="8">
        <f>SUMIFS('Stock In-Out'!D:D,'Stock In-Out'!B:B,"In",'Stock In-Out'!A:A,Inventory!A422)</f>
        <v>0</v>
      </c>
      <c r="D422" s="8">
        <f>SUMIFS('Stock In-Out'!D:D,'Stock In-Out'!B:B,"Out",'Stock In-Out'!A:A,Inventory!A422)</f>
        <v>0</v>
      </c>
      <c r="E422" s="8">
        <f t="shared" si="7"/>
        <v>0</v>
      </c>
      <c r="F422" s="8" t="str">
        <f>IFERROR(VLOOKUP(A422,'Product Master'!D:N,10,0)*E422,"")</f>
        <v/>
      </c>
      <c r="G422" s="9" t="str">
        <f>IFERROR(VLOOKUP(A422,'Product Master'!D:N,11,0)*E422,"")</f>
        <v/>
      </c>
      <c r="H422" s="8">
        <f>SUMIFS('Product Master'!G:G,'Product Master'!D:D,Inventory!A422)+SUMIFS('Stock In-Out'!I:I,'Stock In-Out'!A:A,Inventory!A422)-SUMIFS('Stock In-Out'!J:J,'Stock In-Out'!A:A,Inventory!A422)</f>
        <v>0</v>
      </c>
      <c r="I422" s="8">
        <f>SUMIFS('Product Master'!H:H,'Product Master'!D:D,Inventory!A422)+SUMIFS('Stock In-Out'!K:K,'Stock In-Out'!A:A,Inventory!A422)-SUMIFS('Stock In-Out'!L:L,'Stock In-Out'!A:A,Inventory!A422)</f>
        <v>0</v>
      </c>
      <c r="J422" s="8">
        <f>SUMIFS('Product Master'!I:I,'Product Master'!D:D,Inventory!A422)+SUMIFS('Stock In-Out'!M:M,'Stock In-Out'!A:A,Inventory!A422)-SUMIFS('Stock In-Out'!N:N,'Stock In-Out'!A:A,Inventory!A422)</f>
        <v>0</v>
      </c>
      <c r="K422" s="8" t="str">
        <f>IFERROR(VLOOKUP(A422,'Product Master'!D:N,7,0),"")</f>
        <v/>
      </c>
    </row>
    <row r="423" spans="1:11" x14ac:dyDescent="0.2">
      <c r="A423" s="1"/>
      <c r="B423" s="8">
        <f>SUMIFS('Stock In-Out'!D:D,'Stock In-Out'!B:B,"Opening Stock",'Stock In-Out'!A:A,Inventory!A423)</f>
        <v>0</v>
      </c>
      <c r="C423" s="8">
        <f>SUMIFS('Stock In-Out'!D:D,'Stock In-Out'!B:B,"In",'Stock In-Out'!A:A,Inventory!A423)</f>
        <v>0</v>
      </c>
      <c r="D423" s="8">
        <f>SUMIFS('Stock In-Out'!D:D,'Stock In-Out'!B:B,"Out",'Stock In-Out'!A:A,Inventory!A423)</f>
        <v>0</v>
      </c>
      <c r="E423" s="8">
        <f t="shared" si="7"/>
        <v>0</v>
      </c>
      <c r="F423" s="8" t="str">
        <f>IFERROR(VLOOKUP(A423,'Product Master'!D:N,10,0)*E423,"")</f>
        <v/>
      </c>
      <c r="G423" s="9" t="str">
        <f>IFERROR(VLOOKUP(A423,'Product Master'!D:N,11,0)*E423,"")</f>
        <v/>
      </c>
      <c r="H423" s="8">
        <f>SUMIFS('Product Master'!G:G,'Product Master'!D:D,Inventory!A423)+SUMIFS('Stock In-Out'!I:I,'Stock In-Out'!A:A,Inventory!A423)-SUMIFS('Stock In-Out'!J:J,'Stock In-Out'!A:A,Inventory!A423)</f>
        <v>0</v>
      </c>
      <c r="I423" s="8">
        <f>SUMIFS('Product Master'!H:H,'Product Master'!D:D,Inventory!A423)+SUMIFS('Stock In-Out'!K:K,'Stock In-Out'!A:A,Inventory!A423)-SUMIFS('Stock In-Out'!L:L,'Stock In-Out'!A:A,Inventory!A423)</f>
        <v>0</v>
      </c>
      <c r="J423" s="8">
        <f>SUMIFS('Product Master'!I:I,'Product Master'!D:D,Inventory!A423)+SUMIFS('Stock In-Out'!M:M,'Stock In-Out'!A:A,Inventory!A423)-SUMIFS('Stock In-Out'!N:N,'Stock In-Out'!A:A,Inventory!A423)</f>
        <v>0</v>
      </c>
      <c r="K423" s="8" t="str">
        <f>IFERROR(VLOOKUP(A423,'Product Master'!D:N,7,0),"")</f>
        <v/>
      </c>
    </row>
    <row r="424" spans="1:11" x14ac:dyDescent="0.2">
      <c r="A424" s="1"/>
      <c r="B424" s="8">
        <f>SUMIFS('Stock In-Out'!D:D,'Stock In-Out'!B:B,"Opening Stock",'Stock In-Out'!A:A,Inventory!A424)</f>
        <v>0</v>
      </c>
      <c r="C424" s="8">
        <f>SUMIFS('Stock In-Out'!D:D,'Stock In-Out'!B:B,"In",'Stock In-Out'!A:A,Inventory!A424)</f>
        <v>0</v>
      </c>
      <c r="D424" s="8">
        <f>SUMIFS('Stock In-Out'!D:D,'Stock In-Out'!B:B,"Out",'Stock In-Out'!A:A,Inventory!A424)</f>
        <v>0</v>
      </c>
      <c r="E424" s="8">
        <f t="shared" si="7"/>
        <v>0</v>
      </c>
      <c r="F424" s="8" t="str">
        <f>IFERROR(VLOOKUP(A424,'Product Master'!D:N,10,0)*E424,"")</f>
        <v/>
      </c>
      <c r="G424" s="9" t="str">
        <f>IFERROR(VLOOKUP(A424,'Product Master'!D:N,11,0)*E424,"")</f>
        <v/>
      </c>
      <c r="H424" s="8">
        <f>SUMIFS('Product Master'!G:G,'Product Master'!D:D,Inventory!A424)+SUMIFS('Stock In-Out'!I:I,'Stock In-Out'!A:A,Inventory!A424)-SUMIFS('Stock In-Out'!J:J,'Stock In-Out'!A:A,Inventory!A424)</f>
        <v>0</v>
      </c>
      <c r="I424" s="8">
        <f>SUMIFS('Product Master'!H:H,'Product Master'!D:D,Inventory!A424)+SUMIFS('Stock In-Out'!K:K,'Stock In-Out'!A:A,Inventory!A424)-SUMIFS('Stock In-Out'!L:L,'Stock In-Out'!A:A,Inventory!A424)</f>
        <v>0</v>
      </c>
      <c r="J424" s="8">
        <f>SUMIFS('Product Master'!I:I,'Product Master'!D:D,Inventory!A424)+SUMIFS('Stock In-Out'!M:M,'Stock In-Out'!A:A,Inventory!A424)-SUMIFS('Stock In-Out'!N:N,'Stock In-Out'!A:A,Inventory!A424)</f>
        <v>0</v>
      </c>
      <c r="K424" s="8" t="str">
        <f>IFERROR(VLOOKUP(A424,'Product Master'!D:N,7,0),"")</f>
        <v/>
      </c>
    </row>
    <row r="425" spans="1:11" x14ac:dyDescent="0.2">
      <c r="A425" s="1"/>
      <c r="B425" s="8">
        <f>SUMIFS('Stock In-Out'!D:D,'Stock In-Out'!B:B,"Opening Stock",'Stock In-Out'!A:A,Inventory!A425)</f>
        <v>0</v>
      </c>
      <c r="C425" s="8">
        <f>SUMIFS('Stock In-Out'!D:D,'Stock In-Out'!B:B,"In",'Stock In-Out'!A:A,Inventory!A425)</f>
        <v>0</v>
      </c>
      <c r="D425" s="8">
        <f>SUMIFS('Stock In-Out'!D:D,'Stock In-Out'!B:B,"Out",'Stock In-Out'!A:A,Inventory!A425)</f>
        <v>0</v>
      </c>
      <c r="E425" s="8">
        <f t="shared" si="7"/>
        <v>0</v>
      </c>
      <c r="F425" s="8" t="str">
        <f>IFERROR(VLOOKUP(A425,'Product Master'!D:N,10,0)*E425,"")</f>
        <v/>
      </c>
      <c r="G425" s="9" t="str">
        <f>IFERROR(VLOOKUP(A425,'Product Master'!D:N,11,0)*E425,"")</f>
        <v/>
      </c>
      <c r="H425" s="8">
        <f>SUMIFS('Product Master'!G:G,'Product Master'!D:D,Inventory!A425)+SUMIFS('Stock In-Out'!I:I,'Stock In-Out'!A:A,Inventory!A425)-SUMIFS('Stock In-Out'!J:J,'Stock In-Out'!A:A,Inventory!A425)</f>
        <v>0</v>
      </c>
      <c r="I425" s="8">
        <f>SUMIFS('Product Master'!H:H,'Product Master'!D:D,Inventory!A425)+SUMIFS('Stock In-Out'!K:K,'Stock In-Out'!A:A,Inventory!A425)-SUMIFS('Stock In-Out'!L:L,'Stock In-Out'!A:A,Inventory!A425)</f>
        <v>0</v>
      </c>
      <c r="J425" s="8">
        <f>SUMIFS('Product Master'!I:I,'Product Master'!D:D,Inventory!A425)+SUMIFS('Stock In-Out'!M:M,'Stock In-Out'!A:A,Inventory!A425)-SUMIFS('Stock In-Out'!N:N,'Stock In-Out'!A:A,Inventory!A425)</f>
        <v>0</v>
      </c>
      <c r="K425" s="8" t="str">
        <f>IFERROR(VLOOKUP(A425,'Product Master'!D:N,7,0),"")</f>
        <v/>
      </c>
    </row>
    <row r="426" spans="1:11" x14ac:dyDescent="0.2">
      <c r="A426" s="1"/>
      <c r="B426" s="8">
        <f>SUMIFS('Stock In-Out'!D:D,'Stock In-Out'!B:B,"Opening Stock",'Stock In-Out'!A:A,Inventory!A426)</f>
        <v>0</v>
      </c>
      <c r="C426" s="8">
        <f>SUMIFS('Stock In-Out'!D:D,'Stock In-Out'!B:B,"In",'Stock In-Out'!A:A,Inventory!A426)</f>
        <v>0</v>
      </c>
      <c r="D426" s="8">
        <f>SUMIFS('Stock In-Out'!D:D,'Stock In-Out'!B:B,"Out",'Stock In-Out'!A:A,Inventory!A426)</f>
        <v>0</v>
      </c>
      <c r="E426" s="8">
        <f t="shared" si="7"/>
        <v>0</v>
      </c>
      <c r="F426" s="8" t="str">
        <f>IFERROR(VLOOKUP(A426,'Product Master'!D:N,10,0)*E426,"")</f>
        <v/>
      </c>
      <c r="G426" s="9" t="str">
        <f>IFERROR(VLOOKUP(A426,'Product Master'!D:N,11,0)*E426,"")</f>
        <v/>
      </c>
      <c r="H426" s="8">
        <f>SUMIFS('Product Master'!G:G,'Product Master'!D:D,Inventory!A426)+SUMIFS('Stock In-Out'!I:I,'Stock In-Out'!A:A,Inventory!A426)-SUMIFS('Stock In-Out'!J:J,'Stock In-Out'!A:A,Inventory!A426)</f>
        <v>0</v>
      </c>
      <c r="I426" s="8">
        <f>SUMIFS('Product Master'!H:H,'Product Master'!D:D,Inventory!A426)+SUMIFS('Stock In-Out'!K:K,'Stock In-Out'!A:A,Inventory!A426)-SUMIFS('Stock In-Out'!L:L,'Stock In-Out'!A:A,Inventory!A426)</f>
        <v>0</v>
      </c>
      <c r="J426" s="8">
        <f>SUMIFS('Product Master'!I:I,'Product Master'!D:D,Inventory!A426)+SUMIFS('Stock In-Out'!M:M,'Stock In-Out'!A:A,Inventory!A426)-SUMIFS('Stock In-Out'!N:N,'Stock In-Out'!A:A,Inventory!A426)</f>
        <v>0</v>
      </c>
      <c r="K426" s="8" t="str">
        <f>IFERROR(VLOOKUP(A426,'Product Master'!D:N,7,0),"")</f>
        <v/>
      </c>
    </row>
    <row r="427" spans="1:11" x14ac:dyDescent="0.2">
      <c r="A427" s="1"/>
      <c r="B427" s="8">
        <f>SUMIFS('Stock In-Out'!D:D,'Stock In-Out'!B:B,"Opening Stock",'Stock In-Out'!A:A,Inventory!A427)</f>
        <v>0</v>
      </c>
      <c r="C427" s="8">
        <f>SUMIFS('Stock In-Out'!D:D,'Stock In-Out'!B:B,"In",'Stock In-Out'!A:A,Inventory!A427)</f>
        <v>0</v>
      </c>
      <c r="D427" s="8">
        <f>SUMIFS('Stock In-Out'!D:D,'Stock In-Out'!B:B,"Out",'Stock In-Out'!A:A,Inventory!A427)</f>
        <v>0</v>
      </c>
      <c r="E427" s="8">
        <f t="shared" si="7"/>
        <v>0</v>
      </c>
      <c r="F427" s="8" t="str">
        <f>IFERROR(VLOOKUP(A427,'Product Master'!D:N,10,0)*E427,"")</f>
        <v/>
      </c>
      <c r="G427" s="9" t="str">
        <f>IFERROR(VLOOKUP(A427,'Product Master'!D:N,11,0)*E427,"")</f>
        <v/>
      </c>
      <c r="H427" s="8">
        <f>SUMIFS('Product Master'!G:G,'Product Master'!D:D,Inventory!A427)+SUMIFS('Stock In-Out'!I:I,'Stock In-Out'!A:A,Inventory!A427)-SUMIFS('Stock In-Out'!J:J,'Stock In-Out'!A:A,Inventory!A427)</f>
        <v>0</v>
      </c>
      <c r="I427" s="8">
        <f>SUMIFS('Product Master'!H:H,'Product Master'!D:D,Inventory!A427)+SUMIFS('Stock In-Out'!K:K,'Stock In-Out'!A:A,Inventory!A427)-SUMIFS('Stock In-Out'!L:L,'Stock In-Out'!A:A,Inventory!A427)</f>
        <v>0</v>
      </c>
      <c r="J427" s="8">
        <f>SUMIFS('Product Master'!I:I,'Product Master'!D:D,Inventory!A427)+SUMIFS('Stock In-Out'!M:M,'Stock In-Out'!A:A,Inventory!A427)-SUMIFS('Stock In-Out'!N:N,'Stock In-Out'!A:A,Inventory!A427)</f>
        <v>0</v>
      </c>
      <c r="K427" s="8" t="str">
        <f>IFERROR(VLOOKUP(A427,'Product Master'!D:N,7,0),"")</f>
        <v/>
      </c>
    </row>
    <row r="428" spans="1:11" x14ac:dyDescent="0.2">
      <c r="A428" s="1"/>
      <c r="B428" s="8">
        <f>SUMIFS('Stock In-Out'!D:D,'Stock In-Out'!B:B,"Opening Stock",'Stock In-Out'!A:A,Inventory!A428)</f>
        <v>0</v>
      </c>
      <c r="C428" s="8">
        <f>SUMIFS('Stock In-Out'!D:D,'Stock In-Out'!B:B,"In",'Stock In-Out'!A:A,Inventory!A428)</f>
        <v>0</v>
      </c>
      <c r="D428" s="8">
        <f>SUMIFS('Stock In-Out'!D:D,'Stock In-Out'!B:B,"Out",'Stock In-Out'!A:A,Inventory!A428)</f>
        <v>0</v>
      </c>
      <c r="E428" s="8">
        <f t="shared" si="7"/>
        <v>0</v>
      </c>
      <c r="F428" s="8" t="str">
        <f>IFERROR(VLOOKUP(A428,'Product Master'!D:N,10,0)*E428,"")</f>
        <v/>
      </c>
      <c r="G428" s="9" t="str">
        <f>IFERROR(VLOOKUP(A428,'Product Master'!D:N,11,0)*E428,"")</f>
        <v/>
      </c>
      <c r="H428" s="8">
        <f>SUMIFS('Product Master'!G:G,'Product Master'!D:D,Inventory!A428)+SUMIFS('Stock In-Out'!I:I,'Stock In-Out'!A:A,Inventory!A428)-SUMIFS('Stock In-Out'!J:J,'Stock In-Out'!A:A,Inventory!A428)</f>
        <v>0</v>
      </c>
      <c r="I428" s="8">
        <f>SUMIFS('Product Master'!H:H,'Product Master'!D:D,Inventory!A428)+SUMIFS('Stock In-Out'!K:K,'Stock In-Out'!A:A,Inventory!A428)-SUMIFS('Stock In-Out'!L:L,'Stock In-Out'!A:A,Inventory!A428)</f>
        <v>0</v>
      </c>
      <c r="J428" s="8">
        <f>SUMIFS('Product Master'!I:I,'Product Master'!D:D,Inventory!A428)+SUMIFS('Stock In-Out'!M:M,'Stock In-Out'!A:A,Inventory!A428)-SUMIFS('Stock In-Out'!N:N,'Stock In-Out'!A:A,Inventory!A428)</f>
        <v>0</v>
      </c>
      <c r="K428" s="8" t="str">
        <f>IFERROR(VLOOKUP(A428,'Product Master'!D:N,7,0),"")</f>
        <v/>
      </c>
    </row>
    <row r="429" spans="1:11" x14ac:dyDescent="0.2">
      <c r="A429" s="1"/>
      <c r="B429" s="8">
        <f>SUMIFS('Stock In-Out'!D:D,'Stock In-Out'!B:B,"Opening Stock",'Stock In-Out'!A:A,Inventory!A429)</f>
        <v>0</v>
      </c>
      <c r="C429" s="8">
        <f>SUMIFS('Stock In-Out'!D:D,'Stock In-Out'!B:B,"In",'Stock In-Out'!A:A,Inventory!A429)</f>
        <v>0</v>
      </c>
      <c r="D429" s="8">
        <f>SUMIFS('Stock In-Out'!D:D,'Stock In-Out'!B:B,"Out",'Stock In-Out'!A:A,Inventory!A429)</f>
        <v>0</v>
      </c>
      <c r="E429" s="8">
        <f t="shared" si="7"/>
        <v>0</v>
      </c>
      <c r="F429" s="8" t="str">
        <f>IFERROR(VLOOKUP(A429,'Product Master'!D:N,10,0)*E429,"")</f>
        <v/>
      </c>
      <c r="G429" s="9" t="str">
        <f>IFERROR(VLOOKUP(A429,'Product Master'!D:N,11,0)*E429,"")</f>
        <v/>
      </c>
      <c r="H429" s="8">
        <f>SUMIFS('Product Master'!G:G,'Product Master'!D:D,Inventory!A429)+SUMIFS('Stock In-Out'!I:I,'Stock In-Out'!A:A,Inventory!A429)-SUMIFS('Stock In-Out'!J:J,'Stock In-Out'!A:A,Inventory!A429)</f>
        <v>0</v>
      </c>
      <c r="I429" s="8">
        <f>SUMIFS('Product Master'!H:H,'Product Master'!D:D,Inventory!A429)+SUMIFS('Stock In-Out'!K:K,'Stock In-Out'!A:A,Inventory!A429)-SUMIFS('Stock In-Out'!L:L,'Stock In-Out'!A:A,Inventory!A429)</f>
        <v>0</v>
      </c>
      <c r="J429" s="8">
        <f>SUMIFS('Product Master'!I:I,'Product Master'!D:D,Inventory!A429)+SUMIFS('Stock In-Out'!M:M,'Stock In-Out'!A:A,Inventory!A429)-SUMIFS('Stock In-Out'!N:N,'Stock In-Out'!A:A,Inventory!A429)</f>
        <v>0</v>
      </c>
      <c r="K429" s="8" t="str">
        <f>IFERROR(VLOOKUP(A429,'Product Master'!D:N,7,0),"")</f>
        <v/>
      </c>
    </row>
    <row r="430" spans="1:11" x14ac:dyDescent="0.2">
      <c r="A430" s="1"/>
      <c r="B430" s="8">
        <f>SUMIFS('Stock In-Out'!D:D,'Stock In-Out'!B:B,"Opening Stock",'Stock In-Out'!A:A,Inventory!A430)</f>
        <v>0</v>
      </c>
      <c r="C430" s="8">
        <f>SUMIFS('Stock In-Out'!D:D,'Stock In-Out'!B:B,"In",'Stock In-Out'!A:A,Inventory!A430)</f>
        <v>0</v>
      </c>
      <c r="D430" s="8">
        <f>SUMIFS('Stock In-Out'!D:D,'Stock In-Out'!B:B,"Out",'Stock In-Out'!A:A,Inventory!A430)</f>
        <v>0</v>
      </c>
      <c r="E430" s="8">
        <f t="shared" si="7"/>
        <v>0</v>
      </c>
      <c r="F430" s="8" t="str">
        <f>IFERROR(VLOOKUP(A430,'Product Master'!D:N,10,0)*E430,"")</f>
        <v/>
      </c>
      <c r="G430" s="9" t="str">
        <f>IFERROR(VLOOKUP(A430,'Product Master'!D:N,11,0)*E430,"")</f>
        <v/>
      </c>
      <c r="H430" s="8">
        <f>SUMIFS('Product Master'!G:G,'Product Master'!D:D,Inventory!A430)+SUMIFS('Stock In-Out'!I:I,'Stock In-Out'!A:A,Inventory!A430)-SUMIFS('Stock In-Out'!J:J,'Stock In-Out'!A:A,Inventory!A430)</f>
        <v>0</v>
      </c>
      <c r="I430" s="8">
        <f>SUMIFS('Product Master'!H:H,'Product Master'!D:D,Inventory!A430)+SUMIFS('Stock In-Out'!K:K,'Stock In-Out'!A:A,Inventory!A430)-SUMIFS('Stock In-Out'!L:L,'Stock In-Out'!A:A,Inventory!A430)</f>
        <v>0</v>
      </c>
      <c r="J430" s="8">
        <f>SUMIFS('Product Master'!I:I,'Product Master'!D:D,Inventory!A430)+SUMIFS('Stock In-Out'!M:M,'Stock In-Out'!A:A,Inventory!A430)-SUMIFS('Stock In-Out'!N:N,'Stock In-Out'!A:A,Inventory!A430)</f>
        <v>0</v>
      </c>
      <c r="K430" s="8" t="str">
        <f>IFERROR(VLOOKUP(A430,'Product Master'!D:N,7,0),"")</f>
        <v/>
      </c>
    </row>
    <row r="431" spans="1:11" x14ac:dyDescent="0.2">
      <c r="A431" s="1"/>
      <c r="B431" s="8">
        <f>SUMIFS('Stock In-Out'!D:D,'Stock In-Out'!B:B,"Opening Stock",'Stock In-Out'!A:A,Inventory!A431)</f>
        <v>0</v>
      </c>
      <c r="C431" s="8">
        <f>SUMIFS('Stock In-Out'!D:D,'Stock In-Out'!B:B,"In",'Stock In-Out'!A:A,Inventory!A431)</f>
        <v>0</v>
      </c>
      <c r="D431" s="8">
        <f>SUMIFS('Stock In-Out'!D:D,'Stock In-Out'!B:B,"Out",'Stock In-Out'!A:A,Inventory!A431)</f>
        <v>0</v>
      </c>
      <c r="E431" s="8">
        <f t="shared" ref="E431:E494" si="8">B431+C431-D431</f>
        <v>0</v>
      </c>
      <c r="F431" s="8" t="str">
        <f>IFERROR(VLOOKUP(A431,'Product Master'!D:N,10,0)*E431,"")</f>
        <v/>
      </c>
      <c r="G431" s="9" t="str">
        <f>IFERROR(VLOOKUP(A431,'Product Master'!D:N,11,0)*E431,"")</f>
        <v/>
      </c>
      <c r="H431" s="8">
        <f>SUMIFS('Product Master'!G:G,'Product Master'!D:D,Inventory!A431)+SUMIFS('Stock In-Out'!I:I,'Stock In-Out'!A:A,Inventory!A431)-SUMIFS('Stock In-Out'!J:J,'Stock In-Out'!A:A,Inventory!A431)</f>
        <v>0</v>
      </c>
      <c r="I431" s="8">
        <f>SUMIFS('Product Master'!H:H,'Product Master'!D:D,Inventory!A431)+SUMIFS('Stock In-Out'!K:K,'Stock In-Out'!A:A,Inventory!A431)-SUMIFS('Stock In-Out'!L:L,'Stock In-Out'!A:A,Inventory!A431)</f>
        <v>0</v>
      </c>
      <c r="J431" s="8">
        <f>SUMIFS('Product Master'!I:I,'Product Master'!D:D,Inventory!A431)+SUMIFS('Stock In-Out'!M:M,'Stock In-Out'!A:A,Inventory!A431)-SUMIFS('Stock In-Out'!N:N,'Stock In-Out'!A:A,Inventory!A431)</f>
        <v>0</v>
      </c>
      <c r="K431" s="8" t="str">
        <f>IFERROR(VLOOKUP(A431,'Product Master'!D:N,7,0),"")</f>
        <v/>
      </c>
    </row>
    <row r="432" spans="1:11" x14ac:dyDescent="0.2">
      <c r="A432" s="1"/>
      <c r="B432" s="8">
        <f>SUMIFS('Stock In-Out'!D:D,'Stock In-Out'!B:B,"Opening Stock",'Stock In-Out'!A:A,Inventory!A432)</f>
        <v>0</v>
      </c>
      <c r="C432" s="8">
        <f>SUMIFS('Stock In-Out'!D:D,'Stock In-Out'!B:B,"In",'Stock In-Out'!A:A,Inventory!A432)</f>
        <v>0</v>
      </c>
      <c r="D432" s="8">
        <f>SUMIFS('Stock In-Out'!D:D,'Stock In-Out'!B:B,"Out",'Stock In-Out'!A:A,Inventory!A432)</f>
        <v>0</v>
      </c>
      <c r="E432" s="8">
        <f t="shared" si="8"/>
        <v>0</v>
      </c>
      <c r="F432" s="8" t="str">
        <f>IFERROR(VLOOKUP(A432,'Product Master'!D:N,10,0)*E432,"")</f>
        <v/>
      </c>
      <c r="G432" s="9" t="str">
        <f>IFERROR(VLOOKUP(A432,'Product Master'!D:N,11,0)*E432,"")</f>
        <v/>
      </c>
      <c r="H432" s="8">
        <f>SUMIFS('Product Master'!G:G,'Product Master'!D:D,Inventory!A432)+SUMIFS('Stock In-Out'!I:I,'Stock In-Out'!A:A,Inventory!A432)-SUMIFS('Stock In-Out'!J:J,'Stock In-Out'!A:A,Inventory!A432)</f>
        <v>0</v>
      </c>
      <c r="I432" s="8">
        <f>SUMIFS('Product Master'!H:H,'Product Master'!D:D,Inventory!A432)+SUMIFS('Stock In-Out'!K:K,'Stock In-Out'!A:A,Inventory!A432)-SUMIFS('Stock In-Out'!L:L,'Stock In-Out'!A:A,Inventory!A432)</f>
        <v>0</v>
      </c>
      <c r="J432" s="8">
        <f>SUMIFS('Product Master'!I:I,'Product Master'!D:D,Inventory!A432)+SUMIFS('Stock In-Out'!M:M,'Stock In-Out'!A:A,Inventory!A432)-SUMIFS('Stock In-Out'!N:N,'Stock In-Out'!A:A,Inventory!A432)</f>
        <v>0</v>
      </c>
      <c r="K432" s="8" t="str">
        <f>IFERROR(VLOOKUP(A432,'Product Master'!D:N,7,0),"")</f>
        <v/>
      </c>
    </row>
    <row r="433" spans="1:11" x14ac:dyDescent="0.2">
      <c r="A433" s="1"/>
      <c r="B433" s="8">
        <f>SUMIFS('Stock In-Out'!D:D,'Stock In-Out'!B:B,"Opening Stock",'Stock In-Out'!A:A,Inventory!A433)</f>
        <v>0</v>
      </c>
      <c r="C433" s="8">
        <f>SUMIFS('Stock In-Out'!D:D,'Stock In-Out'!B:B,"In",'Stock In-Out'!A:A,Inventory!A433)</f>
        <v>0</v>
      </c>
      <c r="D433" s="8">
        <f>SUMIFS('Stock In-Out'!D:D,'Stock In-Out'!B:B,"Out",'Stock In-Out'!A:A,Inventory!A433)</f>
        <v>0</v>
      </c>
      <c r="E433" s="8">
        <f t="shared" si="8"/>
        <v>0</v>
      </c>
      <c r="F433" s="8" t="str">
        <f>IFERROR(VLOOKUP(A433,'Product Master'!D:N,10,0)*E433,"")</f>
        <v/>
      </c>
      <c r="G433" s="9" t="str">
        <f>IFERROR(VLOOKUP(A433,'Product Master'!D:N,11,0)*E433,"")</f>
        <v/>
      </c>
      <c r="H433" s="8">
        <f>SUMIFS('Product Master'!G:G,'Product Master'!D:D,Inventory!A433)+SUMIFS('Stock In-Out'!I:I,'Stock In-Out'!A:A,Inventory!A433)-SUMIFS('Stock In-Out'!J:J,'Stock In-Out'!A:A,Inventory!A433)</f>
        <v>0</v>
      </c>
      <c r="I433" s="8">
        <f>SUMIFS('Product Master'!H:H,'Product Master'!D:D,Inventory!A433)+SUMIFS('Stock In-Out'!K:K,'Stock In-Out'!A:A,Inventory!A433)-SUMIFS('Stock In-Out'!L:L,'Stock In-Out'!A:A,Inventory!A433)</f>
        <v>0</v>
      </c>
      <c r="J433" s="8">
        <f>SUMIFS('Product Master'!I:I,'Product Master'!D:D,Inventory!A433)+SUMIFS('Stock In-Out'!M:M,'Stock In-Out'!A:A,Inventory!A433)-SUMIFS('Stock In-Out'!N:N,'Stock In-Out'!A:A,Inventory!A433)</f>
        <v>0</v>
      </c>
      <c r="K433" s="8" t="str">
        <f>IFERROR(VLOOKUP(A433,'Product Master'!D:N,7,0),"")</f>
        <v/>
      </c>
    </row>
    <row r="434" spans="1:11" x14ac:dyDescent="0.2">
      <c r="A434" s="1"/>
      <c r="B434" s="8">
        <f>SUMIFS('Stock In-Out'!D:D,'Stock In-Out'!B:B,"Opening Stock",'Stock In-Out'!A:A,Inventory!A434)</f>
        <v>0</v>
      </c>
      <c r="C434" s="8">
        <f>SUMIFS('Stock In-Out'!D:D,'Stock In-Out'!B:B,"In",'Stock In-Out'!A:A,Inventory!A434)</f>
        <v>0</v>
      </c>
      <c r="D434" s="8">
        <f>SUMIFS('Stock In-Out'!D:D,'Stock In-Out'!B:B,"Out",'Stock In-Out'!A:A,Inventory!A434)</f>
        <v>0</v>
      </c>
      <c r="E434" s="8">
        <f t="shared" si="8"/>
        <v>0</v>
      </c>
      <c r="F434" s="8" t="str">
        <f>IFERROR(VLOOKUP(A434,'Product Master'!D:N,10,0)*E434,"")</f>
        <v/>
      </c>
      <c r="G434" s="9" t="str">
        <f>IFERROR(VLOOKUP(A434,'Product Master'!D:N,11,0)*E434,"")</f>
        <v/>
      </c>
      <c r="H434" s="8">
        <f>SUMIFS('Product Master'!G:G,'Product Master'!D:D,Inventory!A434)+SUMIFS('Stock In-Out'!I:I,'Stock In-Out'!A:A,Inventory!A434)-SUMIFS('Stock In-Out'!J:J,'Stock In-Out'!A:A,Inventory!A434)</f>
        <v>0</v>
      </c>
      <c r="I434" s="8">
        <f>SUMIFS('Product Master'!H:H,'Product Master'!D:D,Inventory!A434)+SUMIFS('Stock In-Out'!K:K,'Stock In-Out'!A:A,Inventory!A434)-SUMIFS('Stock In-Out'!L:L,'Stock In-Out'!A:A,Inventory!A434)</f>
        <v>0</v>
      </c>
      <c r="J434" s="8">
        <f>SUMIFS('Product Master'!I:I,'Product Master'!D:D,Inventory!A434)+SUMIFS('Stock In-Out'!M:M,'Stock In-Out'!A:A,Inventory!A434)-SUMIFS('Stock In-Out'!N:N,'Stock In-Out'!A:A,Inventory!A434)</f>
        <v>0</v>
      </c>
      <c r="K434" s="8" t="str">
        <f>IFERROR(VLOOKUP(A434,'Product Master'!D:N,7,0),"")</f>
        <v/>
      </c>
    </row>
    <row r="435" spans="1:11" x14ac:dyDescent="0.2">
      <c r="A435" s="1"/>
      <c r="B435" s="8">
        <f>SUMIFS('Stock In-Out'!D:D,'Stock In-Out'!B:B,"Opening Stock",'Stock In-Out'!A:A,Inventory!A435)</f>
        <v>0</v>
      </c>
      <c r="C435" s="8">
        <f>SUMIFS('Stock In-Out'!D:D,'Stock In-Out'!B:B,"In",'Stock In-Out'!A:A,Inventory!A435)</f>
        <v>0</v>
      </c>
      <c r="D435" s="8">
        <f>SUMIFS('Stock In-Out'!D:D,'Stock In-Out'!B:B,"Out",'Stock In-Out'!A:A,Inventory!A435)</f>
        <v>0</v>
      </c>
      <c r="E435" s="8">
        <f t="shared" si="8"/>
        <v>0</v>
      </c>
      <c r="F435" s="8" t="str">
        <f>IFERROR(VLOOKUP(A435,'Product Master'!D:N,10,0)*E435,"")</f>
        <v/>
      </c>
      <c r="G435" s="9" t="str">
        <f>IFERROR(VLOOKUP(A435,'Product Master'!D:N,11,0)*E435,"")</f>
        <v/>
      </c>
      <c r="H435" s="8">
        <f>SUMIFS('Product Master'!G:G,'Product Master'!D:D,Inventory!A435)+SUMIFS('Stock In-Out'!I:I,'Stock In-Out'!A:A,Inventory!A435)-SUMIFS('Stock In-Out'!J:J,'Stock In-Out'!A:A,Inventory!A435)</f>
        <v>0</v>
      </c>
      <c r="I435" s="8">
        <f>SUMIFS('Product Master'!H:H,'Product Master'!D:D,Inventory!A435)+SUMIFS('Stock In-Out'!K:K,'Stock In-Out'!A:A,Inventory!A435)-SUMIFS('Stock In-Out'!L:L,'Stock In-Out'!A:A,Inventory!A435)</f>
        <v>0</v>
      </c>
      <c r="J435" s="8">
        <f>SUMIFS('Product Master'!I:I,'Product Master'!D:D,Inventory!A435)+SUMIFS('Stock In-Out'!M:M,'Stock In-Out'!A:A,Inventory!A435)-SUMIFS('Stock In-Out'!N:N,'Stock In-Out'!A:A,Inventory!A435)</f>
        <v>0</v>
      </c>
      <c r="K435" s="8" t="str">
        <f>IFERROR(VLOOKUP(A435,'Product Master'!D:N,7,0),"")</f>
        <v/>
      </c>
    </row>
    <row r="436" spans="1:11" x14ac:dyDescent="0.2">
      <c r="A436" s="1"/>
      <c r="B436" s="8">
        <f>SUMIFS('Stock In-Out'!D:D,'Stock In-Out'!B:B,"Opening Stock",'Stock In-Out'!A:A,Inventory!A436)</f>
        <v>0</v>
      </c>
      <c r="C436" s="8">
        <f>SUMIFS('Stock In-Out'!D:D,'Stock In-Out'!B:B,"In",'Stock In-Out'!A:A,Inventory!A436)</f>
        <v>0</v>
      </c>
      <c r="D436" s="8">
        <f>SUMIFS('Stock In-Out'!D:D,'Stock In-Out'!B:B,"Out",'Stock In-Out'!A:A,Inventory!A436)</f>
        <v>0</v>
      </c>
      <c r="E436" s="8">
        <f t="shared" si="8"/>
        <v>0</v>
      </c>
      <c r="F436" s="8" t="str">
        <f>IFERROR(VLOOKUP(A436,'Product Master'!D:N,10,0)*E436,"")</f>
        <v/>
      </c>
      <c r="G436" s="9" t="str">
        <f>IFERROR(VLOOKUP(A436,'Product Master'!D:N,11,0)*E436,"")</f>
        <v/>
      </c>
      <c r="H436" s="8">
        <f>SUMIFS('Product Master'!G:G,'Product Master'!D:D,Inventory!A436)+SUMIFS('Stock In-Out'!I:I,'Stock In-Out'!A:A,Inventory!A436)-SUMIFS('Stock In-Out'!J:J,'Stock In-Out'!A:A,Inventory!A436)</f>
        <v>0</v>
      </c>
      <c r="I436" s="8">
        <f>SUMIFS('Product Master'!H:H,'Product Master'!D:D,Inventory!A436)+SUMIFS('Stock In-Out'!K:K,'Stock In-Out'!A:A,Inventory!A436)-SUMIFS('Stock In-Out'!L:L,'Stock In-Out'!A:A,Inventory!A436)</f>
        <v>0</v>
      </c>
      <c r="J436" s="8">
        <f>SUMIFS('Product Master'!I:I,'Product Master'!D:D,Inventory!A436)+SUMIFS('Stock In-Out'!M:M,'Stock In-Out'!A:A,Inventory!A436)-SUMIFS('Stock In-Out'!N:N,'Stock In-Out'!A:A,Inventory!A436)</f>
        <v>0</v>
      </c>
      <c r="K436" s="8" t="str">
        <f>IFERROR(VLOOKUP(A436,'Product Master'!D:N,7,0),"")</f>
        <v/>
      </c>
    </row>
    <row r="437" spans="1:11" x14ac:dyDescent="0.2">
      <c r="A437" s="1"/>
      <c r="B437" s="8">
        <f>SUMIFS('Stock In-Out'!D:D,'Stock In-Out'!B:B,"Opening Stock",'Stock In-Out'!A:A,Inventory!A437)</f>
        <v>0</v>
      </c>
      <c r="C437" s="8">
        <f>SUMIFS('Stock In-Out'!D:D,'Stock In-Out'!B:B,"In",'Stock In-Out'!A:A,Inventory!A437)</f>
        <v>0</v>
      </c>
      <c r="D437" s="8">
        <f>SUMIFS('Stock In-Out'!D:D,'Stock In-Out'!B:B,"Out",'Stock In-Out'!A:A,Inventory!A437)</f>
        <v>0</v>
      </c>
      <c r="E437" s="8">
        <f t="shared" si="8"/>
        <v>0</v>
      </c>
      <c r="F437" s="8" t="str">
        <f>IFERROR(VLOOKUP(A437,'Product Master'!D:N,10,0)*E437,"")</f>
        <v/>
      </c>
      <c r="G437" s="9" t="str">
        <f>IFERROR(VLOOKUP(A437,'Product Master'!D:N,11,0)*E437,"")</f>
        <v/>
      </c>
      <c r="H437" s="8">
        <f>SUMIFS('Product Master'!G:G,'Product Master'!D:D,Inventory!A437)+SUMIFS('Stock In-Out'!I:I,'Stock In-Out'!A:A,Inventory!A437)-SUMIFS('Stock In-Out'!J:J,'Stock In-Out'!A:A,Inventory!A437)</f>
        <v>0</v>
      </c>
      <c r="I437" s="8">
        <f>SUMIFS('Product Master'!H:H,'Product Master'!D:D,Inventory!A437)+SUMIFS('Stock In-Out'!K:K,'Stock In-Out'!A:A,Inventory!A437)-SUMIFS('Stock In-Out'!L:L,'Stock In-Out'!A:A,Inventory!A437)</f>
        <v>0</v>
      </c>
      <c r="J437" s="8">
        <f>SUMIFS('Product Master'!I:I,'Product Master'!D:D,Inventory!A437)+SUMIFS('Stock In-Out'!M:M,'Stock In-Out'!A:A,Inventory!A437)-SUMIFS('Stock In-Out'!N:N,'Stock In-Out'!A:A,Inventory!A437)</f>
        <v>0</v>
      </c>
      <c r="K437" s="8" t="str">
        <f>IFERROR(VLOOKUP(A437,'Product Master'!D:N,7,0),"")</f>
        <v/>
      </c>
    </row>
    <row r="438" spans="1:11" x14ac:dyDescent="0.2">
      <c r="A438" s="1"/>
      <c r="B438" s="8">
        <f>SUMIFS('Stock In-Out'!D:D,'Stock In-Out'!B:B,"Opening Stock",'Stock In-Out'!A:A,Inventory!A438)</f>
        <v>0</v>
      </c>
      <c r="C438" s="8">
        <f>SUMIFS('Stock In-Out'!D:D,'Stock In-Out'!B:B,"In",'Stock In-Out'!A:A,Inventory!A438)</f>
        <v>0</v>
      </c>
      <c r="D438" s="8">
        <f>SUMIFS('Stock In-Out'!D:D,'Stock In-Out'!B:B,"Out",'Stock In-Out'!A:A,Inventory!A438)</f>
        <v>0</v>
      </c>
      <c r="E438" s="8">
        <f t="shared" si="8"/>
        <v>0</v>
      </c>
      <c r="F438" s="8" t="str">
        <f>IFERROR(VLOOKUP(A438,'Product Master'!D:N,10,0)*E438,"")</f>
        <v/>
      </c>
      <c r="G438" s="9" t="str">
        <f>IFERROR(VLOOKUP(A438,'Product Master'!D:N,11,0)*E438,"")</f>
        <v/>
      </c>
      <c r="H438" s="8">
        <f>SUMIFS('Product Master'!G:G,'Product Master'!D:D,Inventory!A438)+SUMIFS('Stock In-Out'!I:I,'Stock In-Out'!A:A,Inventory!A438)-SUMIFS('Stock In-Out'!J:J,'Stock In-Out'!A:A,Inventory!A438)</f>
        <v>0</v>
      </c>
      <c r="I438" s="8">
        <f>SUMIFS('Product Master'!H:H,'Product Master'!D:D,Inventory!A438)+SUMIFS('Stock In-Out'!K:K,'Stock In-Out'!A:A,Inventory!A438)-SUMIFS('Stock In-Out'!L:L,'Stock In-Out'!A:A,Inventory!A438)</f>
        <v>0</v>
      </c>
      <c r="J438" s="8">
        <f>SUMIFS('Product Master'!I:I,'Product Master'!D:D,Inventory!A438)+SUMIFS('Stock In-Out'!M:M,'Stock In-Out'!A:A,Inventory!A438)-SUMIFS('Stock In-Out'!N:N,'Stock In-Out'!A:A,Inventory!A438)</f>
        <v>0</v>
      </c>
      <c r="K438" s="8" t="str">
        <f>IFERROR(VLOOKUP(A438,'Product Master'!D:N,7,0),"")</f>
        <v/>
      </c>
    </row>
    <row r="439" spans="1:11" x14ac:dyDescent="0.2">
      <c r="A439" s="1"/>
      <c r="B439" s="8">
        <f>SUMIFS('Stock In-Out'!D:D,'Stock In-Out'!B:B,"Opening Stock",'Stock In-Out'!A:A,Inventory!A439)</f>
        <v>0</v>
      </c>
      <c r="C439" s="8">
        <f>SUMIFS('Stock In-Out'!D:D,'Stock In-Out'!B:B,"In",'Stock In-Out'!A:A,Inventory!A439)</f>
        <v>0</v>
      </c>
      <c r="D439" s="8">
        <f>SUMIFS('Stock In-Out'!D:D,'Stock In-Out'!B:B,"Out",'Stock In-Out'!A:A,Inventory!A439)</f>
        <v>0</v>
      </c>
      <c r="E439" s="8">
        <f t="shared" si="8"/>
        <v>0</v>
      </c>
      <c r="F439" s="8" t="str">
        <f>IFERROR(VLOOKUP(A439,'Product Master'!D:N,10,0)*E439,"")</f>
        <v/>
      </c>
      <c r="G439" s="9" t="str">
        <f>IFERROR(VLOOKUP(A439,'Product Master'!D:N,11,0)*E439,"")</f>
        <v/>
      </c>
      <c r="H439" s="8">
        <f>SUMIFS('Product Master'!G:G,'Product Master'!D:D,Inventory!A439)+SUMIFS('Stock In-Out'!I:I,'Stock In-Out'!A:A,Inventory!A439)-SUMIFS('Stock In-Out'!J:J,'Stock In-Out'!A:A,Inventory!A439)</f>
        <v>0</v>
      </c>
      <c r="I439" s="8">
        <f>SUMIFS('Product Master'!H:H,'Product Master'!D:D,Inventory!A439)+SUMIFS('Stock In-Out'!K:K,'Stock In-Out'!A:A,Inventory!A439)-SUMIFS('Stock In-Out'!L:L,'Stock In-Out'!A:A,Inventory!A439)</f>
        <v>0</v>
      </c>
      <c r="J439" s="8">
        <f>SUMIFS('Product Master'!I:I,'Product Master'!D:D,Inventory!A439)+SUMIFS('Stock In-Out'!M:M,'Stock In-Out'!A:A,Inventory!A439)-SUMIFS('Stock In-Out'!N:N,'Stock In-Out'!A:A,Inventory!A439)</f>
        <v>0</v>
      </c>
      <c r="K439" s="8" t="str">
        <f>IFERROR(VLOOKUP(A439,'Product Master'!D:N,7,0),"")</f>
        <v/>
      </c>
    </row>
    <row r="440" spans="1:11" x14ac:dyDescent="0.2">
      <c r="A440" s="1"/>
      <c r="B440" s="8">
        <f>SUMIFS('Stock In-Out'!D:D,'Stock In-Out'!B:B,"Opening Stock",'Stock In-Out'!A:A,Inventory!A440)</f>
        <v>0</v>
      </c>
      <c r="C440" s="8">
        <f>SUMIFS('Stock In-Out'!D:D,'Stock In-Out'!B:B,"In",'Stock In-Out'!A:A,Inventory!A440)</f>
        <v>0</v>
      </c>
      <c r="D440" s="8">
        <f>SUMIFS('Stock In-Out'!D:D,'Stock In-Out'!B:B,"Out",'Stock In-Out'!A:A,Inventory!A440)</f>
        <v>0</v>
      </c>
      <c r="E440" s="8">
        <f t="shared" si="8"/>
        <v>0</v>
      </c>
      <c r="F440" s="8" t="str">
        <f>IFERROR(VLOOKUP(A440,'Product Master'!D:N,10,0)*E440,"")</f>
        <v/>
      </c>
      <c r="G440" s="9" t="str">
        <f>IFERROR(VLOOKUP(A440,'Product Master'!D:N,11,0)*E440,"")</f>
        <v/>
      </c>
      <c r="H440" s="8">
        <f>SUMIFS('Product Master'!G:G,'Product Master'!D:D,Inventory!A440)+SUMIFS('Stock In-Out'!I:I,'Stock In-Out'!A:A,Inventory!A440)-SUMIFS('Stock In-Out'!J:J,'Stock In-Out'!A:A,Inventory!A440)</f>
        <v>0</v>
      </c>
      <c r="I440" s="8">
        <f>SUMIFS('Product Master'!H:H,'Product Master'!D:D,Inventory!A440)+SUMIFS('Stock In-Out'!K:K,'Stock In-Out'!A:A,Inventory!A440)-SUMIFS('Stock In-Out'!L:L,'Stock In-Out'!A:A,Inventory!A440)</f>
        <v>0</v>
      </c>
      <c r="J440" s="8">
        <f>SUMIFS('Product Master'!I:I,'Product Master'!D:D,Inventory!A440)+SUMIFS('Stock In-Out'!M:M,'Stock In-Out'!A:A,Inventory!A440)-SUMIFS('Stock In-Out'!N:N,'Stock In-Out'!A:A,Inventory!A440)</f>
        <v>0</v>
      </c>
      <c r="K440" s="8" t="str">
        <f>IFERROR(VLOOKUP(A440,'Product Master'!D:N,7,0),"")</f>
        <v/>
      </c>
    </row>
    <row r="441" spans="1:11" x14ac:dyDescent="0.2">
      <c r="A441" s="1"/>
      <c r="B441" s="8">
        <f>SUMIFS('Stock In-Out'!D:D,'Stock In-Out'!B:B,"Opening Stock",'Stock In-Out'!A:A,Inventory!A441)</f>
        <v>0</v>
      </c>
      <c r="C441" s="8">
        <f>SUMIFS('Stock In-Out'!D:D,'Stock In-Out'!B:B,"In",'Stock In-Out'!A:A,Inventory!A441)</f>
        <v>0</v>
      </c>
      <c r="D441" s="8">
        <f>SUMIFS('Stock In-Out'!D:D,'Stock In-Out'!B:B,"Out",'Stock In-Out'!A:A,Inventory!A441)</f>
        <v>0</v>
      </c>
      <c r="E441" s="8">
        <f t="shared" si="8"/>
        <v>0</v>
      </c>
      <c r="F441" s="8" t="str">
        <f>IFERROR(VLOOKUP(A441,'Product Master'!D:N,10,0)*E441,"")</f>
        <v/>
      </c>
      <c r="G441" s="9" t="str">
        <f>IFERROR(VLOOKUP(A441,'Product Master'!D:N,11,0)*E441,"")</f>
        <v/>
      </c>
      <c r="H441" s="8">
        <f>SUMIFS('Product Master'!G:G,'Product Master'!D:D,Inventory!A441)+SUMIFS('Stock In-Out'!I:I,'Stock In-Out'!A:A,Inventory!A441)-SUMIFS('Stock In-Out'!J:J,'Stock In-Out'!A:A,Inventory!A441)</f>
        <v>0</v>
      </c>
      <c r="I441" s="8">
        <f>SUMIFS('Product Master'!H:H,'Product Master'!D:D,Inventory!A441)+SUMIFS('Stock In-Out'!K:K,'Stock In-Out'!A:A,Inventory!A441)-SUMIFS('Stock In-Out'!L:L,'Stock In-Out'!A:A,Inventory!A441)</f>
        <v>0</v>
      </c>
      <c r="J441" s="8">
        <f>SUMIFS('Product Master'!I:I,'Product Master'!D:D,Inventory!A441)+SUMIFS('Stock In-Out'!M:M,'Stock In-Out'!A:A,Inventory!A441)-SUMIFS('Stock In-Out'!N:N,'Stock In-Out'!A:A,Inventory!A441)</f>
        <v>0</v>
      </c>
      <c r="K441" s="8" t="str">
        <f>IFERROR(VLOOKUP(A441,'Product Master'!D:N,7,0),"")</f>
        <v/>
      </c>
    </row>
    <row r="442" spans="1:11" x14ac:dyDescent="0.2">
      <c r="A442" s="1"/>
      <c r="B442" s="8">
        <f>SUMIFS('Stock In-Out'!D:D,'Stock In-Out'!B:B,"Opening Stock",'Stock In-Out'!A:A,Inventory!A442)</f>
        <v>0</v>
      </c>
      <c r="C442" s="8">
        <f>SUMIFS('Stock In-Out'!D:D,'Stock In-Out'!B:B,"In",'Stock In-Out'!A:A,Inventory!A442)</f>
        <v>0</v>
      </c>
      <c r="D442" s="8">
        <f>SUMIFS('Stock In-Out'!D:D,'Stock In-Out'!B:B,"Out",'Stock In-Out'!A:A,Inventory!A442)</f>
        <v>0</v>
      </c>
      <c r="E442" s="8">
        <f t="shared" si="8"/>
        <v>0</v>
      </c>
      <c r="F442" s="8" t="str">
        <f>IFERROR(VLOOKUP(A442,'Product Master'!D:N,10,0)*E442,"")</f>
        <v/>
      </c>
      <c r="G442" s="9" t="str">
        <f>IFERROR(VLOOKUP(A442,'Product Master'!D:N,11,0)*E442,"")</f>
        <v/>
      </c>
      <c r="H442" s="8">
        <f>SUMIFS('Product Master'!G:G,'Product Master'!D:D,Inventory!A442)+SUMIFS('Stock In-Out'!I:I,'Stock In-Out'!A:A,Inventory!A442)-SUMIFS('Stock In-Out'!J:J,'Stock In-Out'!A:A,Inventory!A442)</f>
        <v>0</v>
      </c>
      <c r="I442" s="8">
        <f>SUMIFS('Product Master'!H:H,'Product Master'!D:D,Inventory!A442)+SUMIFS('Stock In-Out'!K:K,'Stock In-Out'!A:A,Inventory!A442)-SUMIFS('Stock In-Out'!L:L,'Stock In-Out'!A:A,Inventory!A442)</f>
        <v>0</v>
      </c>
      <c r="J442" s="8">
        <f>SUMIFS('Product Master'!I:I,'Product Master'!D:D,Inventory!A442)+SUMIFS('Stock In-Out'!M:M,'Stock In-Out'!A:A,Inventory!A442)-SUMIFS('Stock In-Out'!N:N,'Stock In-Out'!A:A,Inventory!A442)</f>
        <v>0</v>
      </c>
      <c r="K442" s="8" t="str">
        <f>IFERROR(VLOOKUP(A442,'Product Master'!D:N,7,0),"")</f>
        <v/>
      </c>
    </row>
    <row r="443" spans="1:11" x14ac:dyDescent="0.2">
      <c r="A443" s="1"/>
      <c r="B443" s="8">
        <f>SUMIFS('Stock In-Out'!D:D,'Stock In-Out'!B:B,"Opening Stock",'Stock In-Out'!A:A,Inventory!A443)</f>
        <v>0</v>
      </c>
      <c r="C443" s="8">
        <f>SUMIFS('Stock In-Out'!D:D,'Stock In-Out'!B:B,"In",'Stock In-Out'!A:A,Inventory!A443)</f>
        <v>0</v>
      </c>
      <c r="D443" s="8">
        <f>SUMIFS('Stock In-Out'!D:D,'Stock In-Out'!B:B,"Out",'Stock In-Out'!A:A,Inventory!A443)</f>
        <v>0</v>
      </c>
      <c r="E443" s="8">
        <f t="shared" si="8"/>
        <v>0</v>
      </c>
      <c r="F443" s="8" t="str">
        <f>IFERROR(VLOOKUP(A443,'Product Master'!D:N,10,0)*E443,"")</f>
        <v/>
      </c>
      <c r="G443" s="9" t="str">
        <f>IFERROR(VLOOKUP(A443,'Product Master'!D:N,11,0)*E443,"")</f>
        <v/>
      </c>
      <c r="H443" s="8">
        <f>SUMIFS('Product Master'!G:G,'Product Master'!D:D,Inventory!A443)+SUMIFS('Stock In-Out'!I:I,'Stock In-Out'!A:A,Inventory!A443)-SUMIFS('Stock In-Out'!J:J,'Stock In-Out'!A:A,Inventory!A443)</f>
        <v>0</v>
      </c>
      <c r="I443" s="8">
        <f>SUMIFS('Product Master'!H:H,'Product Master'!D:D,Inventory!A443)+SUMIFS('Stock In-Out'!K:K,'Stock In-Out'!A:A,Inventory!A443)-SUMIFS('Stock In-Out'!L:L,'Stock In-Out'!A:A,Inventory!A443)</f>
        <v>0</v>
      </c>
      <c r="J443" s="8">
        <f>SUMIFS('Product Master'!I:I,'Product Master'!D:D,Inventory!A443)+SUMIFS('Stock In-Out'!M:M,'Stock In-Out'!A:A,Inventory!A443)-SUMIFS('Stock In-Out'!N:N,'Stock In-Out'!A:A,Inventory!A443)</f>
        <v>0</v>
      </c>
      <c r="K443" s="8" t="str">
        <f>IFERROR(VLOOKUP(A443,'Product Master'!D:N,7,0),"")</f>
        <v/>
      </c>
    </row>
    <row r="444" spans="1:11" x14ac:dyDescent="0.2">
      <c r="A444" s="1"/>
      <c r="B444" s="8">
        <f>SUMIFS('Stock In-Out'!D:D,'Stock In-Out'!B:B,"Opening Stock",'Stock In-Out'!A:A,Inventory!A444)</f>
        <v>0</v>
      </c>
      <c r="C444" s="8">
        <f>SUMIFS('Stock In-Out'!D:D,'Stock In-Out'!B:B,"In",'Stock In-Out'!A:A,Inventory!A444)</f>
        <v>0</v>
      </c>
      <c r="D444" s="8">
        <f>SUMIFS('Stock In-Out'!D:D,'Stock In-Out'!B:B,"Out",'Stock In-Out'!A:A,Inventory!A444)</f>
        <v>0</v>
      </c>
      <c r="E444" s="8">
        <f t="shared" si="8"/>
        <v>0</v>
      </c>
      <c r="F444" s="8" t="str">
        <f>IFERROR(VLOOKUP(A444,'Product Master'!D:N,10,0)*E444,"")</f>
        <v/>
      </c>
      <c r="G444" s="9" t="str">
        <f>IFERROR(VLOOKUP(A444,'Product Master'!D:N,11,0)*E444,"")</f>
        <v/>
      </c>
      <c r="H444" s="8">
        <f>SUMIFS('Product Master'!G:G,'Product Master'!D:D,Inventory!A444)+SUMIFS('Stock In-Out'!I:I,'Stock In-Out'!A:A,Inventory!A444)-SUMIFS('Stock In-Out'!J:J,'Stock In-Out'!A:A,Inventory!A444)</f>
        <v>0</v>
      </c>
      <c r="I444" s="8">
        <f>SUMIFS('Product Master'!H:H,'Product Master'!D:D,Inventory!A444)+SUMIFS('Stock In-Out'!K:K,'Stock In-Out'!A:A,Inventory!A444)-SUMIFS('Stock In-Out'!L:L,'Stock In-Out'!A:A,Inventory!A444)</f>
        <v>0</v>
      </c>
      <c r="J444" s="8">
        <f>SUMIFS('Product Master'!I:I,'Product Master'!D:D,Inventory!A444)+SUMIFS('Stock In-Out'!M:M,'Stock In-Out'!A:A,Inventory!A444)-SUMIFS('Stock In-Out'!N:N,'Stock In-Out'!A:A,Inventory!A444)</f>
        <v>0</v>
      </c>
      <c r="K444" s="8" t="str">
        <f>IFERROR(VLOOKUP(A444,'Product Master'!D:N,7,0),"")</f>
        <v/>
      </c>
    </row>
    <row r="445" spans="1:11" x14ac:dyDescent="0.2">
      <c r="A445" s="1"/>
      <c r="B445" s="8">
        <f>SUMIFS('Stock In-Out'!D:D,'Stock In-Out'!B:B,"Opening Stock",'Stock In-Out'!A:A,Inventory!A445)</f>
        <v>0</v>
      </c>
      <c r="C445" s="8">
        <f>SUMIFS('Stock In-Out'!D:D,'Stock In-Out'!B:B,"In",'Stock In-Out'!A:A,Inventory!A445)</f>
        <v>0</v>
      </c>
      <c r="D445" s="8">
        <f>SUMIFS('Stock In-Out'!D:D,'Stock In-Out'!B:B,"Out",'Stock In-Out'!A:A,Inventory!A445)</f>
        <v>0</v>
      </c>
      <c r="E445" s="8">
        <f t="shared" si="8"/>
        <v>0</v>
      </c>
      <c r="F445" s="8" t="str">
        <f>IFERROR(VLOOKUP(A445,'Product Master'!D:N,10,0)*E445,"")</f>
        <v/>
      </c>
      <c r="G445" s="9" t="str">
        <f>IFERROR(VLOOKUP(A445,'Product Master'!D:N,11,0)*E445,"")</f>
        <v/>
      </c>
      <c r="H445" s="8">
        <f>SUMIFS('Product Master'!G:G,'Product Master'!D:D,Inventory!A445)+SUMIFS('Stock In-Out'!I:I,'Stock In-Out'!A:A,Inventory!A445)-SUMIFS('Stock In-Out'!J:J,'Stock In-Out'!A:A,Inventory!A445)</f>
        <v>0</v>
      </c>
      <c r="I445" s="8">
        <f>SUMIFS('Product Master'!H:H,'Product Master'!D:D,Inventory!A445)+SUMIFS('Stock In-Out'!K:K,'Stock In-Out'!A:A,Inventory!A445)-SUMIFS('Stock In-Out'!L:L,'Stock In-Out'!A:A,Inventory!A445)</f>
        <v>0</v>
      </c>
      <c r="J445" s="8">
        <f>SUMIFS('Product Master'!I:I,'Product Master'!D:D,Inventory!A445)+SUMIFS('Stock In-Out'!M:M,'Stock In-Out'!A:A,Inventory!A445)-SUMIFS('Stock In-Out'!N:N,'Stock In-Out'!A:A,Inventory!A445)</f>
        <v>0</v>
      </c>
      <c r="K445" s="8" t="str">
        <f>IFERROR(VLOOKUP(A445,'Product Master'!D:N,7,0),"")</f>
        <v/>
      </c>
    </row>
    <row r="446" spans="1:11" x14ac:dyDescent="0.2">
      <c r="A446" s="1"/>
      <c r="B446" s="8">
        <f>SUMIFS('Stock In-Out'!D:D,'Stock In-Out'!B:B,"Opening Stock",'Stock In-Out'!A:A,Inventory!A446)</f>
        <v>0</v>
      </c>
      <c r="C446" s="8">
        <f>SUMIFS('Stock In-Out'!D:D,'Stock In-Out'!B:B,"In",'Stock In-Out'!A:A,Inventory!A446)</f>
        <v>0</v>
      </c>
      <c r="D446" s="8">
        <f>SUMIFS('Stock In-Out'!D:D,'Stock In-Out'!B:B,"Out",'Stock In-Out'!A:A,Inventory!A446)</f>
        <v>0</v>
      </c>
      <c r="E446" s="8">
        <f t="shared" si="8"/>
        <v>0</v>
      </c>
      <c r="F446" s="8" t="str">
        <f>IFERROR(VLOOKUP(A446,'Product Master'!D:N,10,0)*E446,"")</f>
        <v/>
      </c>
      <c r="G446" s="9" t="str">
        <f>IFERROR(VLOOKUP(A446,'Product Master'!D:N,11,0)*E446,"")</f>
        <v/>
      </c>
      <c r="H446" s="8">
        <f>SUMIFS('Product Master'!G:G,'Product Master'!D:D,Inventory!A446)+SUMIFS('Stock In-Out'!I:I,'Stock In-Out'!A:A,Inventory!A446)-SUMIFS('Stock In-Out'!J:J,'Stock In-Out'!A:A,Inventory!A446)</f>
        <v>0</v>
      </c>
      <c r="I446" s="8">
        <f>SUMIFS('Product Master'!H:H,'Product Master'!D:D,Inventory!A446)+SUMIFS('Stock In-Out'!K:K,'Stock In-Out'!A:A,Inventory!A446)-SUMIFS('Stock In-Out'!L:L,'Stock In-Out'!A:A,Inventory!A446)</f>
        <v>0</v>
      </c>
      <c r="J446" s="8">
        <f>SUMIFS('Product Master'!I:I,'Product Master'!D:D,Inventory!A446)+SUMIFS('Stock In-Out'!M:M,'Stock In-Out'!A:A,Inventory!A446)-SUMIFS('Stock In-Out'!N:N,'Stock In-Out'!A:A,Inventory!A446)</f>
        <v>0</v>
      </c>
      <c r="K446" s="8" t="str">
        <f>IFERROR(VLOOKUP(A446,'Product Master'!D:N,7,0),"")</f>
        <v/>
      </c>
    </row>
    <row r="447" spans="1:11" x14ac:dyDescent="0.2">
      <c r="A447" s="1"/>
      <c r="B447" s="8">
        <f>SUMIFS('Stock In-Out'!D:D,'Stock In-Out'!B:B,"Opening Stock",'Stock In-Out'!A:A,Inventory!A447)</f>
        <v>0</v>
      </c>
      <c r="C447" s="8">
        <f>SUMIFS('Stock In-Out'!D:D,'Stock In-Out'!B:B,"In",'Stock In-Out'!A:A,Inventory!A447)</f>
        <v>0</v>
      </c>
      <c r="D447" s="8">
        <f>SUMIFS('Stock In-Out'!D:D,'Stock In-Out'!B:B,"Out",'Stock In-Out'!A:A,Inventory!A447)</f>
        <v>0</v>
      </c>
      <c r="E447" s="8">
        <f t="shared" si="8"/>
        <v>0</v>
      </c>
      <c r="F447" s="8" t="str">
        <f>IFERROR(VLOOKUP(A447,'Product Master'!D:N,10,0)*E447,"")</f>
        <v/>
      </c>
      <c r="G447" s="9" t="str">
        <f>IFERROR(VLOOKUP(A447,'Product Master'!D:N,11,0)*E447,"")</f>
        <v/>
      </c>
      <c r="H447" s="8">
        <f>SUMIFS('Product Master'!G:G,'Product Master'!D:D,Inventory!A447)+SUMIFS('Stock In-Out'!I:I,'Stock In-Out'!A:A,Inventory!A447)-SUMIFS('Stock In-Out'!J:J,'Stock In-Out'!A:A,Inventory!A447)</f>
        <v>0</v>
      </c>
      <c r="I447" s="8">
        <f>SUMIFS('Product Master'!H:H,'Product Master'!D:D,Inventory!A447)+SUMIFS('Stock In-Out'!K:K,'Stock In-Out'!A:A,Inventory!A447)-SUMIFS('Stock In-Out'!L:L,'Stock In-Out'!A:A,Inventory!A447)</f>
        <v>0</v>
      </c>
      <c r="J447" s="8">
        <f>SUMIFS('Product Master'!I:I,'Product Master'!D:D,Inventory!A447)+SUMIFS('Stock In-Out'!M:M,'Stock In-Out'!A:A,Inventory!A447)-SUMIFS('Stock In-Out'!N:N,'Stock In-Out'!A:A,Inventory!A447)</f>
        <v>0</v>
      </c>
      <c r="K447" s="8" t="str">
        <f>IFERROR(VLOOKUP(A447,'Product Master'!D:N,7,0),"")</f>
        <v/>
      </c>
    </row>
    <row r="448" spans="1:11" x14ac:dyDescent="0.2">
      <c r="A448" s="1"/>
      <c r="B448" s="8">
        <f>SUMIFS('Stock In-Out'!D:D,'Stock In-Out'!B:B,"Opening Stock",'Stock In-Out'!A:A,Inventory!A448)</f>
        <v>0</v>
      </c>
      <c r="C448" s="8">
        <f>SUMIFS('Stock In-Out'!D:D,'Stock In-Out'!B:B,"In",'Stock In-Out'!A:A,Inventory!A448)</f>
        <v>0</v>
      </c>
      <c r="D448" s="8">
        <f>SUMIFS('Stock In-Out'!D:D,'Stock In-Out'!B:B,"Out",'Stock In-Out'!A:A,Inventory!A448)</f>
        <v>0</v>
      </c>
      <c r="E448" s="8">
        <f t="shared" si="8"/>
        <v>0</v>
      </c>
      <c r="F448" s="8" t="str">
        <f>IFERROR(VLOOKUP(A448,'Product Master'!D:N,10,0)*E448,"")</f>
        <v/>
      </c>
      <c r="G448" s="9" t="str">
        <f>IFERROR(VLOOKUP(A448,'Product Master'!D:N,11,0)*E448,"")</f>
        <v/>
      </c>
      <c r="H448" s="8">
        <f>SUMIFS('Product Master'!G:G,'Product Master'!D:D,Inventory!A448)+SUMIFS('Stock In-Out'!I:I,'Stock In-Out'!A:A,Inventory!A448)-SUMIFS('Stock In-Out'!J:J,'Stock In-Out'!A:A,Inventory!A448)</f>
        <v>0</v>
      </c>
      <c r="I448" s="8">
        <f>SUMIFS('Product Master'!H:H,'Product Master'!D:D,Inventory!A448)+SUMIFS('Stock In-Out'!K:K,'Stock In-Out'!A:A,Inventory!A448)-SUMIFS('Stock In-Out'!L:L,'Stock In-Out'!A:A,Inventory!A448)</f>
        <v>0</v>
      </c>
      <c r="J448" s="8">
        <f>SUMIFS('Product Master'!I:I,'Product Master'!D:D,Inventory!A448)+SUMIFS('Stock In-Out'!M:M,'Stock In-Out'!A:A,Inventory!A448)-SUMIFS('Stock In-Out'!N:N,'Stock In-Out'!A:A,Inventory!A448)</f>
        <v>0</v>
      </c>
      <c r="K448" s="8" t="str">
        <f>IFERROR(VLOOKUP(A448,'Product Master'!D:N,7,0),"")</f>
        <v/>
      </c>
    </row>
    <row r="449" spans="1:11" x14ac:dyDescent="0.2">
      <c r="A449" s="1"/>
      <c r="B449" s="8">
        <f>SUMIFS('Stock In-Out'!D:D,'Stock In-Out'!B:B,"Opening Stock",'Stock In-Out'!A:A,Inventory!A449)</f>
        <v>0</v>
      </c>
      <c r="C449" s="8">
        <f>SUMIFS('Stock In-Out'!D:D,'Stock In-Out'!B:B,"In",'Stock In-Out'!A:A,Inventory!A449)</f>
        <v>0</v>
      </c>
      <c r="D449" s="8">
        <f>SUMIFS('Stock In-Out'!D:D,'Stock In-Out'!B:B,"Out",'Stock In-Out'!A:A,Inventory!A449)</f>
        <v>0</v>
      </c>
      <c r="E449" s="8">
        <f t="shared" si="8"/>
        <v>0</v>
      </c>
      <c r="F449" s="8" t="str">
        <f>IFERROR(VLOOKUP(A449,'Product Master'!D:N,10,0)*E449,"")</f>
        <v/>
      </c>
      <c r="G449" s="9" t="str">
        <f>IFERROR(VLOOKUP(A449,'Product Master'!D:N,11,0)*E449,"")</f>
        <v/>
      </c>
      <c r="H449" s="8">
        <f>SUMIFS('Product Master'!G:G,'Product Master'!D:D,Inventory!A449)+SUMIFS('Stock In-Out'!I:I,'Stock In-Out'!A:A,Inventory!A449)-SUMIFS('Stock In-Out'!J:J,'Stock In-Out'!A:A,Inventory!A449)</f>
        <v>0</v>
      </c>
      <c r="I449" s="8">
        <f>SUMIFS('Product Master'!H:H,'Product Master'!D:D,Inventory!A449)+SUMIFS('Stock In-Out'!K:K,'Stock In-Out'!A:A,Inventory!A449)-SUMIFS('Stock In-Out'!L:L,'Stock In-Out'!A:A,Inventory!A449)</f>
        <v>0</v>
      </c>
      <c r="J449" s="8">
        <f>SUMIFS('Product Master'!I:I,'Product Master'!D:D,Inventory!A449)+SUMIFS('Stock In-Out'!M:M,'Stock In-Out'!A:A,Inventory!A449)-SUMIFS('Stock In-Out'!N:N,'Stock In-Out'!A:A,Inventory!A449)</f>
        <v>0</v>
      </c>
      <c r="K449" s="8" t="str">
        <f>IFERROR(VLOOKUP(A449,'Product Master'!D:N,7,0),"")</f>
        <v/>
      </c>
    </row>
    <row r="450" spans="1:11" x14ac:dyDescent="0.2">
      <c r="A450" s="1"/>
      <c r="B450" s="8">
        <f>SUMIFS('Stock In-Out'!D:D,'Stock In-Out'!B:B,"Opening Stock",'Stock In-Out'!A:A,Inventory!A450)</f>
        <v>0</v>
      </c>
      <c r="C450" s="8">
        <f>SUMIFS('Stock In-Out'!D:D,'Stock In-Out'!B:B,"In",'Stock In-Out'!A:A,Inventory!A450)</f>
        <v>0</v>
      </c>
      <c r="D450" s="8">
        <f>SUMIFS('Stock In-Out'!D:D,'Stock In-Out'!B:B,"Out",'Stock In-Out'!A:A,Inventory!A450)</f>
        <v>0</v>
      </c>
      <c r="E450" s="8">
        <f t="shared" si="8"/>
        <v>0</v>
      </c>
      <c r="F450" s="8" t="str">
        <f>IFERROR(VLOOKUP(A450,'Product Master'!D:N,10,0)*E450,"")</f>
        <v/>
      </c>
      <c r="G450" s="9" t="str">
        <f>IFERROR(VLOOKUP(A450,'Product Master'!D:N,11,0)*E450,"")</f>
        <v/>
      </c>
      <c r="H450" s="8">
        <f>SUMIFS('Product Master'!G:G,'Product Master'!D:D,Inventory!A450)+SUMIFS('Stock In-Out'!I:I,'Stock In-Out'!A:A,Inventory!A450)-SUMIFS('Stock In-Out'!J:J,'Stock In-Out'!A:A,Inventory!A450)</f>
        <v>0</v>
      </c>
      <c r="I450" s="8">
        <f>SUMIFS('Product Master'!H:H,'Product Master'!D:D,Inventory!A450)+SUMIFS('Stock In-Out'!K:K,'Stock In-Out'!A:A,Inventory!A450)-SUMIFS('Stock In-Out'!L:L,'Stock In-Out'!A:A,Inventory!A450)</f>
        <v>0</v>
      </c>
      <c r="J450" s="8">
        <f>SUMIFS('Product Master'!I:I,'Product Master'!D:D,Inventory!A450)+SUMIFS('Stock In-Out'!M:M,'Stock In-Out'!A:A,Inventory!A450)-SUMIFS('Stock In-Out'!N:N,'Stock In-Out'!A:A,Inventory!A450)</f>
        <v>0</v>
      </c>
      <c r="K450" s="8" t="str">
        <f>IFERROR(VLOOKUP(A450,'Product Master'!D:N,7,0),"")</f>
        <v/>
      </c>
    </row>
    <row r="451" spans="1:11" x14ac:dyDescent="0.2">
      <c r="A451" s="1"/>
      <c r="B451" s="8">
        <f>SUMIFS('Stock In-Out'!D:D,'Stock In-Out'!B:B,"Opening Stock",'Stock In-Out'!A:A,Inventory!A451)</f>
        <v>0</v>
      </c>
      <c r="C451" s="8">
        <f>SUMIFS('Stock In-Out'!D:D,'Stock In-Out'!B:B,"In",'Stock In-Out'!A:A,Inventory!A451)</f>
        <v>0</v>
      </c>
      <c r="D451" s="8">
        <f>SUMIFS('Stock In-Out'!D:D,'Stock In-Out'!B:B,"Out",'Stock In-Out'!A:A,Inventory!A451)</f>
        <v>0</v>
      </c>
      <c r="E451" s="8">
        <f t="shared" si="8"/>
        <v>0</v>
      </c>
      <c r="F451" s="8" t="str">
        <f>IFERROR(VLOOKUP(A451,'Product Master'!D:N,10,0)*E451,"")</f>
        <v/>
      </c>
      <c r="G451" s="9" t="str">
        <f>IFERROR(VLOOKUP(A451,'Product Master'!D:N,11,0)*E451,"")</f>
        <v/>
      </c>
      <c r="H451" s="8">
        <f>SUMIFS('Product Master'!G:G,'Product Master'!D:D,Inventory!A451)+SUMIFS('Stock In-Out'!I:I,'Stock In-Out'!A:A,Inventory!A451)-SUMIFS('Stock In-Out'!J:J,'Stock In-Out'!A:A,Inventory!A451)</f>
        <v>0</v>
      </c>
      <c r="I451" s="8">
        <f>SUMIFS('Product Master'!H:H,'Product Master'!D:D,Inventory!A451)+SUMIFS('Stock In-Out'!K:K,'Stock In-Out'!A:A,Inventory!A451)-SUMIFS('Stock In-Out'!L:L,'Stock In-Out'!A:A,Inventory!A451)</f>
        <v>0</v>
      </c>
      <c r="J451" s="8">
        <f>SUMIFS('Product Master'!I:I,'Product Master'!D:D,Inventory!A451)+SUMIFS('Stock In-Out'!M:M,'Stock In-Out'!A:A,Inventory!A451)-SUMIFS('Stock In-Out'!N:N,'Stock In-Out'!A:A,Inventory!A451)</f>
        <v>0</v>
      </c>
      <c r="K451" s="8" t="str">
        <f>IFERROR(VLOOKUP(A451,'Product Master'!D:N,7,0),"")</f>
        <v/>
      </c>
    </row>
    <row r="452" spans="1:11" x14ac:dyDescent="0.2">
      <c r="A452" s="1"/>
      <c r="B452" s="8">
        <f>SUMIFS('Stock In-Out'!D:D,'Stock In-Out'!B:B,"Opening Stock",'Stock In-Out'!A:A,Inventory!A452)</f>
        <v>0</v>
      </c>
      <c r="C452" s="8">
        <f>SUMIFS('Stock In-Out'!D:D,'Stock In-Out'!B:B,"In",'Stock In-Out'!A:A,Inventory!A452)</f>
        <v>0</v>
      </c>
      <c r="D452" s="8">
        <f>SUMIFS('Stock In-Out'!D:D,'Stock In-Out'!B:B,"Out",'Stock In-Out'!A:A,Inventory!A452)</f>
        <v>0</v>
      </c>
      <c r="E452" s="8">
        <f t="shared" si="8"/>
        <v>0</v>
      </c>
      <c r="F452" s="8" t="str">
        <f>IFERROR(VLOOKUP(A452,'Product Master'!D:N,10,0)*E452,"")</f>
        <v/>
      </c>
      <c r="G452" s="9" t="str">
        <f>IFERROR(VLOOKUP(A452,'Product Master'!D:N,11,0)*E452,"")</f>
        <v/>
      </c>
      <c r="H452" s="8">
        <f>SUMIFS('Product Master'!G:G,'Product Master'!D:D,Inventory!A452)+SUMIFS('Stock In-Out'!I:I,'Stock In-Out'!A:A,Inventory!A452)-SUMIFS('Stock In-Out'!J:J,'Stock In-Out'!A:A,Inventory!A452)</f>
        <v>0</v>
      </c>
      <c r="I452" s="8">
        <f>SUMIFS('Product Master'!H:H,'Product Master'!D:D,Inventory!A452)+SUMIFS('Stock In-Out'!K:K,'Stock In-Out'!A:A,Inventory!A452)-SUMIFS('Stock In-Out'!L:L,'Stock In-Out'!A:A,Inventory!A452)</f>
        <v>0</v>
      </c>
      <c r="J452" s="8">
        <f>SUMIFS('Product Master'!I:I,'Product Master'!D:D,Inventory!A452)+SUMIFS('Stock In-Out'!M:M,'Stock In-Out'!A:A,Inventory!A452)-SUMIFS('Stock In-Out'!N:N,'Stock In-Out'!A:A,Inventory!A452)</f>
        <v>0</v>
      </c>
      <c r="K452" s="8" t="str">
        <f>IFERROR(VLOOKUP(A452,'Product Master'!D:N,7,0),"")</f>
        <v/>
      </c>
    </row>
    <row r="453" spans="1:11" x14ac:dyDescent="0.2">
      <c r="A453" s="1"/>
      <c r="B453" s="8">
        <f>SUMIFS('Stock In-Out'!D:D,'Stock In-Out'!B:B,"Opening Stock",'Stock In-Out'!A:A,Inventory!A453)</f>
        <v>0</v>
      </c>
      <c r="C453" s="8">
        <f>SUMIFS('Stock In-Out'!D:D,'Stock In-Out'!B:B,"In",'Stock In-Out'!A:A,Inventory!A453)</f>
        <v>0</v>
      </c>
      <c r="D453" s="8">
        <f>SUMIFS('Stock In-Out'!D:D,'Stock In-Out'!B:B,"Out",'Stock In-Out'!A:A,Inventory!A453)</f>
        <v>0</v>
      </c>
      <c r="E453" s="8">
        <f t="shared" si="8"/>
        <v>0</v>
      </c>
      <c r="F453" s="8" t="str">
        <f>IFERROR(VLOOKUP(A453,'Product Master'!D:N,10,0)*E453,"")</f>
        <v/>
      </c>
      <c r="G453" s="9" t="str">
        <f>IFERROR(VLOOKUP(A453,'Product Master'!D:N,11,0)*E453,"")</f>
        <v/>
      </c>
      <c r="H453" s="8">
        <f>SUMIFS('Product Master'!G:G,'Product Master'!D:D,Inventory!A453)+SUMIFS('Stock In-Out'!I:I,'Stock In-Out'!A:A,Inventory!A453)-SUMIFS('Stock In-Out'!J:J,'Stock In-Out'!A:A,Inventory!A453)</f>
        <v>0</v>
      </c>
      <c r="I453" s="8">
        <f>SUMIFS('Product Master'!H:H,'Product Master'!D:D,Inventory!A453)+SUMIFS('Stock In-Out'!K:K,'Stock In-Out'!A:A,Inventory!A453)-SUMIFS('Stock In-Out'!L:L,'Stock In-Out'!A:A,Inventory!A453)</f>
        <v>0</v>
      </c>
      <c r="J453" s="8">
        <f>SUMIFS('Product Master'!I:I,'Product Master'!D:D,Inventory!A453)+SUMIFS('Stock In-Out'!M:M,'Stock In-Out'!A:A,Inventory!A453)-SUMIFS('Stock In-Out'!N:N,'Stock In-Out'!A:A,Inventory!A453)</f>
        <v>0</v>
      </c>
      <c r="K453" s="8" t="str">
        <f>IFERROR(VLOOKUP(A453,'Product Master'!D:N,7,0),"")</f>
        <v/>
      </c>
    </row>
    <row r="454" spans="1:11" x14ac:dyDescent="0.2">
      <c r="A454" s="1"/>
      <c r="B454" s="8">
        <f>SUMIFS('Stock In-Out'!D:D,'Stock In-Out'!B:B,"Opening Stock",'Stock In-Out'!A:A,Inventory!A454)</f>
        <v>0</v>
      </c>
      <c r="C454" s="8">
        <f>SUMIFS('Stock In-Out'!D:D,'Stock In-Out'!B:B,"In",'Stock In-Out'!A:A,Inventory!A454)</f>
        <v>0</v>
      </c>
      <c r="D454" s="8">
        <f>SUMIFS('Stock In-Out'!D:D,'Stock In-Out'!B:B,"Out",'Stock In-Out'!A:A,Inventory!A454)</f>
        <v>0</v>
      </c>
      <c r="E454" s="8">
        <f t="shared" si="8"/>
        <v>0</v>
      </c>
      <c r="F454" s="8" t="str">
        <f>IFERROR(VLOOKUP(A454,'Product Master'!D:N,10,0)*E454,"")</f>
        <v/>
      </c>
      <c r="G454" s="9" t="str">
        <f>IFERROR(VLOOKUP(A454,'Product Master'!D:N,11,0)*E454,"")</f>
        <v/>
      </c>
      <c r="H454" s="8">
        <f>SUMIFS('Product Master'!G:G,'Product Master'!D:D,Inventory!A454)+SUMIFS('Stock In-Out'!I:I,'Stock In-Out'!A:A,Inventory!A454)-SUMIFS('Stock In-Out'!J:J,'Stock In-Out'!A:A,Inventory!A454)</f>
        <v>0</v>
      </c>
      <c r="I454" s="8">
        <f>SUMIFS('Product Master'!H:H,'Product Master'!D:D,Inventory!A454)+SUMIFS('Stock In-Out'!K:K,'Stock In-Out'!A:A,Inventory!A454)-SUMIFS('Stock In-Out'!L:L,'Stock In-Out'!A:A,Inventory!A454)</f>
        <v>0</v>
      </c>
      <c r="J454" s="8">
        <f>SUMIFS('Product Master'!I:I,'Product Master'!D:D,Inventory!A454)+SUMIFS('Stock In-Out'!M:M,'Stock In-Out'!A:A,Inventory!A454)-SUMIFS('Stock In-Out'!N:N,'Stock In-Out'!A:A,Inventory!A454)</f>
        <v>0</v>
      </c>
      <c r="K454" s="8" t="str">
        <f>IFERROR(VLOOKUP(A454,'Product Master'!D:N,7,0),"")</f>
        <v/>
      </c>
    </row>
    <row r="455" spans="1:11" x14ac:dyDescent="0.2">
      <c r="A455" s="1"/>
      <c r="B455" s="8">
        <f>SUMIFS('Stock In-Out'!D:D,'Stock In-Out'!B:B,"Opening Stock",'Stock In-Out'!A:A,Inventory!A455)</f>
        <v>0</v>
      </c>
      <c r="C455" s="8">
        <f>SUMIFS('Stock In-Out'!D:D,'Stock In-Out'!B:B,"In",'Stock In-Out'!A:A,Inventory!A455)</f>
        <v>0</v>
      </c>
      <c r="D455" s="8">
        <f>SUMIFS('Stock In-Out'!D:D,'Stock In-Out'!B:B,"Out",'Stock In-Out'!A:A,Inventory!A455)</f>
        <v>0</v>
      </c>
      <c r="E455" s="8">
        <f t="shared" si="8"/>
        <v>0</v>
      </c>
      <c r="F455" s="8" t="str">
        <f>IFERROR(VLOOKUP(A455,'Product Master'!D:N,10,0)*E455,"")</f>
        <v/>
      </c>
      <c r="G455" s="9" t="str">
        <f>IFERROR(VLOOKUP(A455,'Product Master'!D:N,11,0)*E455,"")</f>
        <v/>
      </c>
      <c r="H455" s="8">
        <f>SUMIFS('Product Master'!G:G,'Product Master'!D:D,Inventory!A455)+SUMIFS('Stock In-Out'!I:I,'Stock In-Out'!A:A,Inventory!A455)-SUMIFS('Stock In-Out'!J:J,'Stock In-Out'!A:A,Inventory!A455)</f>
        <v>0</v>
      </c>
      <c r="I455" s="8">
        <f>SUMIFS('Product Master'!H:H,'Product Master'!D:D,Inventory!A455)+SUMIFS('Stock In-Out'!K:K,'Stock In-Out'!A:A,Inventory!A455)-SUMIFS('Stock In-Out'!L:L,'Stock In-Out'!A:A,Inventory!A455)</f>
        <v>0</v>
      </c>
      <c r="J455" s="8">
        <f>SUMIFS('Product Master'!I:I,'Product Master'!D:D,Inventory!A455)+SUMIFS('Stock In-Out'!M:M,'Stock In-Out'!A:A,Inventory!A455)-SUMIFS('Stock In-Out'!N:N,'Stock In-Out'!A:A,Inventory!A455)</f>
        <v>0</v>
      </c>
      <c r="K455" s="8" t="str">
        <f>IFERROR(VLOOKUP(A455,'Product Master'!D:N,7,0),"")</f>
        <v/>
      </c>
    </row>
    <row r="456" spans="1:11" x14ac:dyDescent="0.2">
      <c r="A456" s="1"/>
      <c r="B456" s="8">
        <f>SUMIFS('Stock In-Out'!D:D,'Stock In-Out'!B:B,"Opening Stock",'Stock In-Out'!A:A,Inventory!A456)</f>
        <v>0</v>
      </c>
      <c r="C456" s="8">
        <f>SUMIFS('Stock In-Out'!D:D,'Stock In-Out'!B:B,"In",'Stock In-Out'!A:A,Inventory!A456)</f>
        <v>0</v>
      </c>
      <c r="D456" s="8">
        <f>SUMIFS('Stock In-Out'!D:D,'Stock In-Out'!B:B,"Out",'Stock In-Out'!A:A,Inventory!A456)</f>
        <v>0</v>
      </c>
      <c r="E456" s="8">
        <f t="shared" si="8"/>
        <v>0</v>
      </c>
      <c r="F456" s="8" t="str">
        <f>IFERROR(VLOOKUP(A456,'Product Master'!D:N,10,0)*E456,"")</f>
        <v/>
      </c>
      <c r="G456" s="9" t="str">
        <f>IFERROR(VLOOKUP(A456,'Product Master'!D:N,11,0)*E456,"")</f>
        <v/>
      </c>
      <c r="H456" s="8">
        <f>SUMIFS('Product Master'!G:G,'Product Master'!D:D,Inventory!A456)+SUMIFS('Stock In-Out'!I:I,'Stock In-Out'!A:A,Inventory!A456)-SUMIFS('Stock In-Out'!J:J,'Stock In-Out'!A:A,Inventory!A456)</f>
        <v>0</v>
      </c>
      <c r="I456" s="8">
        <f>SUMIFS('Product Master'!H:H,'Product Master'!D:D,Inventory!A456)+SUMIFS('Stock In-Out'!K:K,'Stock In-Out'!A:A,Inventory!A456)-SUMIFS('Stock In-Out'!L:L,'Stock In-Out'!A:A,Inventory!A456)</f>
        <v>0</v>
      </c>
      <c r="J456" s="8">
        <f>SUMIFS('Product Master'!I:I,'Product Master'!D:D,Inventory!A456)+SUMIFS('Stock In-Out'!M:M,'Stock In-Out'!A:A,Inventory!A456)-SUMIFS('Stock In-Out'!N:N,'Stock In-Out'!A:A,Inventory!A456)</f>
        <v>0</v>
      </c>
      <c r="K456" s="8" t="str">
        <f>IFERROR(VLOOKUP(A456,'Product Master'!D:N,7,0),"")</f>
        <v/>
      </c>
    </row>
    <row r="457" spans="1:11" x14ac:dyDescent="0.2">
      <c r="A457" s="1"/>
      <c r="B457" s="8">
        <f>SUMIFS('Stock In-Out'!D:D,'Stock In-Out'!B:B,"Opening Stock",'Stock In-Out'!A:A,Inventory!A457)</f>
        <v>0</v>
      </c>
      <c r="C457" s="8">
        <f>SUMIFS('Stock In-Out'!D:D,'Stock In-Out'!B:B,"In",'Stock In-Out'!A:A,Inventory!A457)</f>
        <v>0</v>
      </c>
      <c r="D457" s="8">
        <f>SUMIFS('Stock In-Out'!D:D,'Stock In-Out'!B:B,"Out",'Stock In-Out'!A:A,Inventory!A457)</f>
        <v>0</v>
      </c>
      <c r="E457" s="8">
        <f t="shared" si="8"/>
        <v>0</v>
      </c>
      <c r="F457" s="8" t="str">
        <f>IFERROR(VLOOKUP(A457,'Product Master'!D:N,10,0)*E457,"")</f>
        <v/>
      </c>
      <c r="G457" s="9" t="str">
        <f>IFERROR(VLOOKUP(A457,'Product Master'!D:N,11,0)*E457,"")</f>
        <v/>
      </c>
      <c r="H457" s="8">
        <f>SUMIFS('Product Master'!G:G,'Product Master'!D:D,Inventory!A457)+SUMIFS('Stock In-Out'!I:I,'Stock In-Out'!A:A,Inventory!A457)-SUMIFS('Stock In-Out'!J:J,'Stock In-Out'!A:A,Inventory!A457)</f>
        <v>0</v>
      </c>
      <c r="I457" s="8">
        <f>SUMIFS('Product Master'!H:H,'Product Master'!D:D,Inventory!A457)+SUMIFS('Stock In-Out'!K:K,'Stock In-Out'!A:A,Inventory!A457)-SUMIFS('Stock In-Out'!L:L,'Stock In-Out'!A:A,Inventory!A457)</f>
        <v>0</v>
      </c>
      <c r="J457" s="8">
        <f>SUMIFS('Product Master'!I:I,'Product Master'!D:D,Inventory!A457)+SUMIFS('Stock In-Out'!M:M,'Stock In-Out'!A:A,Inventory!A457)-SUMIFS('Stock In-Out'!N:N,'Stock In-Out'!A:A,Inventory!A457)</f>
        <v>0</v>
      </c>
      <c r="K457" s="8" t="str">
        <f>IFERROR(VLOOKUP(A457,'Product Master'!D:N,7,0),"")</f>
        <v/>
      </c>
    </row>
    <row r="458" spans="1:11" x14ac:dyDescent="0.2">
      <c r="A458" s="1"/>
      <c r="B458" s="8">
        <f>SUMIFS('Stock In-Out'!D:D,'Stock In-Out'!B:B,"Opening Stock",'Stock In-Out'!A:A,Inventory!A458)</f>
        <v>0</v>
      </c>
      <c r="C458" s="8">
        <f>SUMIFS('Stock In-Out'!D:D,'Stock In-Out'!B:B,"In",'Stock In-Out'!A:A,Inventory!A458)</f>
        <v>0</v>
      </c>
      <c r="D458" s="8">
        <f>SUMIFS('Stock In-Out'!D:D,'Stock In-Out'!B:B,"Out",'Stock In-Out'!A:A,Inventory!A458)</f>
        <v>0</v>
      </c>
      <c r="E458" s="8">
        <f t="shared" si="8"/>
        <v>0</v>
      </c>
      <c r="F458" s="8" t="str">
        <f>IFERROR(VLOOKUP(A458,'Product Master'!D:N,10,0)*E458,"")</f>
        <v/>
      </c>
      <c r="G458" s="9" t="str">
        <f>IFERROR(VLOOKUP(A458,'Product Master'!D:N,11,0)*E458,"")</f>
        <v/>
      </c>
      <c r="H458" s="8">
        <f>SUMIFS('Product Master'!G:G,'Product Master'!D:D,Inventory!A458)+SUMIFS('Stock In-Out'!I:I,'Stock In-Out'!A:A,Inventory!A458)-SUMIFS('Stock In-Out'!J:J,'Stock In-Out'!A:A,Inventory!A458)</f>
        <v>0</v>
      </c>
      <c r="I458" s="8">
        <f>SUMIFS('Product Master'!H:H,'Product Master'!D:D,Inventory!A458)+SUMIFS('Stock In-Out'!K:K,'Stock In-Out'!A:A,Inventory!A458)-SUMIFS('Stock In-Out'!L:L,'Stock In-Out'!A:A,Inventory!A458)</f>
        <v>0</v>
      </c>
      <c r="J458" s="8">
        <f>SUMIFS('Product Master'!I:I,'Product Master'!D:D,Inventory!A458)+SUMIFS('Stock In-Out'!M:M,'Stock In-Out'!A:A,Inventory!A458)-SUMIFS('Stock In-Out'!N:N,'Stock In-Out'!A:A,Inventory!A458)</f>
        <v>0</v>
      </c>
      <c r="K458" s="8" t="str">
        <f>IFERROR(VLOOKUP(A458,'Product Master'!D:N,7,0),"")</f>
        <v/>
      </c>
    </row>
    <row r="459" spans="1:11" x14ac:dyDescent="0.2">
      <c r="A459" s="1"/>
      <c r="B459" s="8">
        <f>SUMIFS('Stock In-Out'!D:D,'Stock In-Out'!B:B,"Opening Stock",'Stock In-Out'!A:A,Inventory!A459)</f>
        <v>0</v>
      </c>
      <c r="C459" s="8">
        <f>SUMIFS('Stock In-Out'!D:D,'Stock In-Out'!B:B,"In",'Stock In-Out'!A:A,Inventory!A459)</f>
        <v>0</v>
      </c>
      <c r="D459" s="8">
        <f>SUMIFS('Stock In-Out'!D:D,'Stock In-Out'!B:B,"Out",'Stock In-Out'!A:A,Inventory!A459)</f>
        <v>0</v>
      </c>
      <c r="E459" s="8">
        <f t="shared" si="8"/>
        <v>0</v>
      </c>
      <c r="F459" s="8" t="str">
        <f>IFERROR(VLOOKUP(A459,'Product Master'!D:N,10,0)*E459,"")</f>
        <v/>
      </c>
      <c r="G459" s="9" t="str">
        <f>IFERROR(VLOOKUP(A459,'Product Master'!D:N,11,0)*E459,"")</f>
        <v/>
      </c>
      <c r="H459" s="8">
        <f>SUMIFS('Product Master'!G:G,'Product Master'!D:D,Inventory!A459)+SUMIFS('Stock In-Out'!I:I,'Stock In-Out'!A:A,Inventory!A459)-SUMIFS('Stock In-Out'!J:J,'Stock In-Out'!A:A,Inventory!A459)</f>
        <v>0</v>
      </c>
      <c r="I459" s="8">
        <f>SUMIFS('Product Master'!H:H,'Product Master'!D:D,Inventory!A459)+SUMIFS('Stock In-Out'!K:K,'Stock In-Out'!A:A,Inventory!A459)-SUMIFS('Stock In-Out'!L:L,'Stock In-Out'!A:A,Inventory!A459)</f>
        <v>0</v>
      </c>
      <c r="J459" s="8">
        <f>SUMIFS('Product Master'!I:I,'Product Master'!D:D,Inventory!A459)+SUMIFS('Stock In-Out'!M:M,'Stock In-Out'!A:A,Inventory!A459)-SUMIFS('Stock In-Out'!N:N,'Stock In-Out'!A:A,Inventory!A459)</f>
        <v>0</v>
      </c>
      <c r="K459" s="8" t="str">
        <f>IFERROR(VLOOKUP(A459,'Product Master'!D:N,7,0),"")</f>
        <v/>
      </c>
    </row>
    <row r="460" spans="1:11" x14ac:dyDescent="0.2">
      <c r="A460" s="1"/>
      <c r="B460" s="8">
        <f>SUMIFS('Stock In-Out'!D:D,'Stock In-Out'!B:B,"Opening Stock",'Stock In-Out'!A:A,Inventory!A460)</f>
        <v>0</v>
      </c>
      <c r="C460" s="8">
        <f>SUMIFS('Stock In-Out'!D:D,'Stock In-Out'!B:B,"In",'Stock In-Out'!A:A,Inventory!A460)</f>
        <v>0</v>
      </c>
      <c r="D460" s="8">
        <f>SUMIFS('Stock In-Out'!D:D,'Stock In-Out'!B:B,"Out",'Stock In-Out'!A:A,Inventory!A460)</f>
        <v>0</v>
      </c>
      <c r="E460" s="8">
        <f t="shared" si="8"/>
        <v>0</v>
      </c>
      <c r="F460" s="8" t="str">
        <f>IFERROR(VLOOKUP(A460,'Product Master'!D:N,10,0)*E460,"")</f>
        <v/>
      </c>
      <c r="G460" s="9" t="str">
        <f>IFERROR(VLOOKUP(A460,'Product Master'!D:N,11,0)*E460,"")</f>
        <v/>
      </c>
      <c r="H460" s="8">
        <f>SUMIFS('Product Master'!G:G,'Product Master'!D:D,Inventory!A460)+SUMIFS('Stock In-Out'!I:I,'Stock In-Out'!A:A,Inventory!A460)-SUMIFS('Stock In-Out'!J:J,'Stock In-Out'!A:A,Inventory!A460)</f>
        <v>0</v>
      </c>
      <c r="I460" s="8">
        <f>SUMIFS('Product Master'!H:H,'Product Master'!D:D,Inventory!A460)+SUMIFS('Stock In-Out'!K:K,'Stock In-Out'!A:A,Inventory!A460)-SUMIFS('Stock In-Out'!L:L,'Stock In-Out'!A:A,Inventory!A460)</f>
        <v>0</v>
      </c>
      <c r="J460" s="8">
        <f>SUMIFS('Product Master'!I:I,'Product Master'!D:D,Inventory!A460)+SUMIFS('Stock In-Out'!M:M,'Stock In-Out'!A:A,Inventory!A460)-SUMIFS('Stock In-Out'!N:N,'Stock In-Out'!A:A,Inventory!A460)</f>
        <v>0</v>
      </c>
      <c r="K460" s="8" t="str">
        <f>IFERROR(VLOOKUP(A460,'Product Master'!D:N,7,0),"")</f>
        <v/>
      </c>
    </row>
    <row r="461" spans="1:11" x14ac:dyDescent="0.2">
      <c r="A461" s="1"/>
      <c r="B461" s="8">
        <f>SUMIFS('Stock In-Out'!D:D,'Stock In-Out'!B:B,"Opening Stock",'Stock In-Out'!A:A,Inventory!A461)</f>
        <v>0</v>
      </c>
      <c r="C461" s="8">
        <f>SUMIFS('Stock In-Out'!D:D,'Stock In-Out'!B:B,"In",'Stock In-Out'!A:A,Inventory!A461)</f>
        <v>0</v>
      </c>
      <c r="D461" s="8">
        <f>SUMIFS('Stock In-Out'!D:D,'Stock In-Out'!B:B,"Out",'Stock In-Out'!A:A,Inventory!A461)</f>
        <v>0</v>
      </c>
      <c r="E461" s="8">
        <f t="shared" si="8"/>
        <v>0</v>
      </c>
      <c r="F461" s="8" t="str">
        <f>IFERROR(VLOOKUP(A461,'Product Master'!D:N,10,0)*E461,"")</f>
        <v/>
      </c>
      <c r="G461" s="9" t="str">
        <f>IFERROR(VLOOKUP(A461,'Product Master'!D:N,11,0)*E461,"")</f>
        <v/>
      </c>
      <c r="H461" s="8">
        <f>SUMIFS('Product Master'!G:G,'Product Master'!D:D,Inventory!A461)+SUMIFS('Stock In-Out'!I:I,'Stock In-Out'!A:A,Inventory!A461)-SUMIFS('Stock In-Out'!J:J,'Stock In-Out'!A:A,Inventory!A461)</f>
        <v>0</v>
      </c>
      <c r="I461" s="8">
        <f>SUMIFS('Product Master'!H:H,'Product Master'!D:D,Inventory!A461)+SUMIFS('Stock In-Out'!K:K,'Stock In-Out'!A:A,Inventory!A461)-SUMIFS('Stock In-Out'!L:L,'Stock In-Out'!A:A,Inventory!A461)</f>
        <v>0</v>
      </c>
      <c r="J461" s="8">
        <f>SUMIFS('Product Master'!I:I,'Product Master'!D:D,Inventory!A461)+SUMIFS('Stock In-Out'!M:M,'Stock In-Out'!A:A,Inventory!A461)-SUMIFS('Stock In-Out'!N:N,'Stock In-Out'!A:A,Inventory!A461)</f>
        <v>0</v>
      </c>
      <c r="K461" s="8" t="str">
        <f>IFERROR(VLOOKUP(A461,'Product Master'!D:N,7,0),"")</f>
        <v/>
      </c>
    </row>
    <row r="462" spans="1:11" x14ac:dyDescent="0.2">
      <c r="A462" s="1"/>
      <c r="B462" s="8">
        <f>SUMIFS('Stock In-Out'!D:D,'Stock In-Out'!B:B,"Opening Stock",'Stock In-Out'!A:A,Inventory!A462)</f>
        <v>0</v>
      </c>
      <c r="C462" s="8">
        <f>SUMIFS('Stock In-Out'!D:D,'Stock In-Out'!B:B,"In",'Stock In-Out'!A:A,Inventory!A462)</f>
        <v>0</v>
      </c>
      <c r="D462" s="8">
        <f>SUMIFS('Stock In-Out'!D:D,'Stock In-Out'!B:B,"Out",'Stock In-Out'!A:A,Inventory!A462)</f>
        <v>0</v>
      </c>
      <c r="E462" s="8">
        <f t="shared" si="8"/>
        <v>0</v>
      </c>
      <c r="F462" s="8" t="str">
        <f>IFERROR(VLOOKUP(A462,'Product Master'!D:N,10,0)*E462,"")</f>
        <v/>
      </c>
      <c r="G462" s="9" t="str">
        <f>IFERROR(VLOOKUP(A462,'Product Master'!D:N,11,0)*E462,"")</f>
        <v/>
      </c>
      <c r="H462" s="8">
        <f>SUMIFS('Product Master'!G:G,'Product Master'!D:D,Inventory!A462)+SUMIFS('Stock In-Out'!I:I,'Stock In-Out'!A:A,Inventory!A462)-SUMIFS('Stock In-Out'!J:J,'Stock In-Out'!A:A,Inventory!A462)</f>
        <v>0</v>
      </c>
      <c r="I462" s="8">
        <f>SUMIFS('Product Master'!H:H,'Product Master'!D:D,Inventory!A462)+SUMIFS('Stock In-Out'!K:K,'Stock In-Out'!A:A,Inventory!A462)-SUMIFS('Stock In-Out'!L:L,'Stock In-Out'!A:A,Inventory!A462)</f>
        <v>0</v>
      </c>
      <c r="J462" s="8">
        <f>SUMIFS('Product Master'!I:I,'Product Master'!D:D,Inventory!A462)+SUMIFS('Stock In-Out'!M:M,'Stock In-Out'!A:A,Inventory!A462)-SUMIFS('Stock In-Out'!N:N,'Stock In-Out'!A:A,Inventory!A462)</f>
        <v>0</v>
      </c>
      <c r="K462" s="8" t="str">
        <f>IFERROR(VLOOKUP(A462,'Product Master'!D:N,7,0),"")</f>
        <v/>
      </c>
    </row>
    <row r="463" spans="1:11" x14ac:dyDescent="0.2">
      <c r="A463" s="1"/>
      <c r="B463" s="8">
        <f>SUMIFS('Stock In-Out'!D:D,'Stock In-Out'!B:B,"Opening Stock",'Stock In-Out'!A:A,Inventory!A463)</f>
        <v>0</v>
      </c>
      <c r="C463" s="8">
        <f>SUMIFS('Stock In-Out'!D:D,'Stock In-Out'!B:B,"In",'Stock In-Out'!A:A,Inventory!A463)</f>
        <v>0</v>
      </c>
      <c r="D463" s="8">
        <f>SUMIFS('Stock In-Out'!D:D,'Stock In-Out'!B:B,"Out",'Stock In-Out'!A:A,Inventory!A463)</f>
        <v>0</v>
      </c>
      <c r="E463" s="8">
        <f t="shared" si="8"/>
        <v>0</v>
      </c>
      <c r="F463" s="8" t="str">
        <f>IFERROR(VLOOKUP(A463,'Product Master'!D:N,10,0)*E463,"")</f>
        <v/>
      </c>
      <c r="G463" s="9" t="str">
        <f>IFERROR(VLOOKUP(A463,'Product Master'!D:N,11,0)*E463,"")</f>
        <v/>
      </c>
      <c r="H463" s="8">
        <f>SUMIFS('Product Master'!G:G,'Product Master'!D:D,Inventory!A463)+SUMIFS('Stock In-Out'!I:I,'Stock In-Out'!A:A,Inventory!A463)-SUMIFS('Stock In-Out'!J:J,'Stock In-Out'!A:A,Inventory!A463)</f>
        <v>0</v>
      </c>
      <c r="I463" s="8">
        <f>SUMIFS('Product Master'!H:H,'Product Master'!D:D,Inventory!A463)+SUMIFS('Stock In-Out'!K:K,'Stock In-Out'!A:A,Inventory!A463)-SUMIFS('Stock In-Out'!L:L,'Stock In-Out'!A:A,Inventory!A463)</f>
        <v>0</v>
      </c>
      <c r="J463" s="8">
        <f>SUMIFS('Product Master'!I:I,'Product Master'!D:D,Inventory!A463)+SUMIFS('Stock In-Out'!M:M,'Stock In-Out'!A:A,Inventory!A463)-SUMIFS('Stock In-Out'!N:N,'Stock In-Out'!A:A,Inventory!A463)</f>
        <v>0</v>
      </c>
      <c r="K463" s="8" t="str">
        <f>IFERROR(VLOOKUP(A463,'Product Master'!D:N,7,0),"")</f>
        <v/>
      </c>
    </row>
    <row r="464" spans="1:11" x14ac:dyDescent="0.2">
      <c r="A464" s="1"/>
      <c r="B464" s="8">
        <f>SUMIFS('Stock In-Out'!D:D,'Stock In-Out'!B:B,"Opening Stock",'Stock In-Out'!A:A,Inventory!A464)</f>
        <v>0</v>
      </c>
      <c r="C464" s="8">
        <f>SUMIFS('Stock In-Out'!D:D,'Stock In-Out'!B:B,"In",'Stock In-Out'!A:A,Inventory!A464)</f>
        <v>0</v>
      </c>
      <c r="D464" s="8">
        <f>SUMIFS('Stock In-Out'!D:D,'Stock In-Out'!B:B,"Out",'Stock In-Out'!A:A,Inventory!A464)</f>
        <v>0</v>
      </c>
      <c r="E464" s="8">
        <f t="shared" si="8"/>
        <v>0</v>
      </c>
      <c r="F464" s="8" t="str">
        <f>IFERROR(VLOOKUP(A464,'Product Master'!D:N,10,0)*E464,"")</f>
        <v/>
      </c>
      <c r="G464" s="9" t="str">
        <f>IFERROR(VLOOKUP(A464,'Product Master'!D:N,11,0)*E464,"")</f>
        <v/>
      </c>
      <c r="H464" s="8">
        <f>SUMIFS('Product Master'!G:G,'Product Master'!D:D,Inventory!A464)+SUMIFS('Stock In-Out'!I:I,'Stock In-Out'!A:A,Inventory!A464)-SUMIFS('Stock In-Out'!J:J,'Stock In-Out'!A:A,Inventory!A464)</f>
        <v>0</v>
      </c>
      <c r="I464" s="8">
        <f>SUMIFS('Product Master'!H:H,'Product Master'!D:D,Inventory!A464)+SUMIFS('Stock In-Out'!K:K,'Stock In-Out'!A:A,Inventory!A464)-SUMIFS('Stock In-Out'!L:L,'Stock In-Out'!A:A,Inventory!A464)</f>
        <v>0</v>
      </c>
      <c r="J464" s="8">
        <f>SUMIFS('Product Master'!I:I,'Product Master'!D:D,Inventory!A464)+SUMIFS('Stock In-Out'!M:M,'Stock In-Out'!A:A,Inventory!A464)-SUMIFS('Stock In-Out'!N:N,'Stock In-Out'!A:A,Inventory!A464)</f>
        <v>0</v>
      </c>
      <c r="K464" s="8" t="str">
        <f>IFERROR(VLOOKUP(A464,'Product Master'!D:N,7,0),"")</f>
        <v/>
      </c>
    </row>
    <row r="465" spans="1:11" x14ac:dyDescent="0.2">
      <c r="A465" s="1"/>
      <c r="B465" s="8">
        <f>SUMIFS('Stock In-Out'!D:D,'Stock In-Out'!B:B,"Opening Stock",'Stock In-Out'!A:A,Inventory!A465)</f>
        <v>0</v>
      </c>
      <c r="C465" s="8">
        <f>SUMIFS('Stock In-Out'!D:D,'Stock In-Out'!B:B,"In",'Stock In-Out'!A:A,Inventory!A465)</f>
        <v>0</v>
      </c>
      <c r="D465" s="8">
        <f>SUMIFS('Stock In-Out'!D:D,'Stock In-Out'!B:B,"Out",'Stock In-Out'!A:A,Inventory!A465)</f>
        <v>0</v>
      </c>
      <c r="E465" s="8">
        <f t="shared" si="8"/>
        <v>0</v>
      </c>
      <c r="F465" s="8" t="str">
        <f>IFERROR(VLOOKUP(A465,'Product Master'!D:N,10,0)*E465,"")</f>
        <v/>
      </c>
      <c r="G465" s="9" t="str">
        <f>IFERROR(VLOOKUP(A465,'Product Master'!D:N,11,0)*E465,"")</f>
        <v/>
      </c>
      <c r="H465" s="8">
        <f>SUMIFS('Product Master'!G:G,'Product Master'!D:D,Inventory!A465)+SUMIFS('Stock In-Out'!I:I,'Stock In-Out'!A:A,Inventory!A465)-SUMIFS('Stock In-Out'!J:J,'Stock In-Out'!A:A,Inventory!A465)</f>
        <v>0</v>
      </c>
      <c r="I465" s="8">
        <f>SUMIFS('Product Master'!H:H,'Product Master'!D:D,Inventory!A465)+SUMIFS('Stock In-Out'!K:K,'Stock In-Out'!A:A,Inventory!A465)-SUMIFS('Stock In-Out'!L:L,'Stock In-Out'!A:A,Inventory!A465)</f>
        <v>0</v>
      </c>
      <c r="J465" s="8">
        <f>SUMIFS('Product Master'!I:I,'Product Master'!D:D,Inventory!A465)+SUMIFS('Stock In-Out'!M:M,'Stock In-Out'!A:A,Inventory!A465)-SUMIFS('Stock In-Out'!N:N,'Stock In-Out'!A:A,Inventory!A465)</f>
        <v>0</v>
      </c>
      <c r="K465" s="8" t="str">
        <f>IFERROR(VLOOKUP(A465,'Product Master'!D:N,7,0),"")</f>
        <v/>
      </c>
    </row>
    <row r="466" spans="1:11" x14ac:dyDescent="0.2">
      <c r="A466" s="1"/>
      <c r="B466" s="8">
        <f>SUMIFS('Stock In-Out'!D:D,'Stock In-Out'!B:B,"Opening Stock",'Stock In-Out'!A:A,Inventory!A466)</f>
        <v>0</v>
      </c>
      <c r="C466" s="8">
        <f>SUMIFS('Stock In-Out'!D:D,'Stock In-Out'!B:B,"In",'Stock In-Out'!A:A,Inventory!A466)</f>
        <v>0</v>
      </c>
      <c r="D466" s="8">
        <f>SUMIFS('Stock In-Out'!D:D,'Stock In-Out'!B:B,"Out",'Stock In-Out'!A:A,Inventory!A466)</f>
        <v>0</v>
      </c>
      <c r="E466" s="8">
        <f t="shared" si="8"/>
        <v>0</v>
      </c>
      <c r="F466" s="8" t="str">
        <f>IFERROR(VLOOKUP(A466,'Product Master'!D:N,10,0)*E466,"")</f>
        <v/>
      </c>
      <c r="G466" s="9" t="str">
        <f>IFERROR(VLOOKUP(A466,'Product Master'!D:N,11,0)*E466,"")</f>
        <v/>
      </c>
      <c r="H466" s="8">
        <f>SUMIFS('Product Master'!G:G,'Product Master'!D:D,Inventory!A466)+SUMIFS('Stock In-Out'!I:I,'Stock In-Out'!A:A,Inventory!A466)-SUMIFS('Stock In-Out'!J:J,'Stock In-Out'!A:A,Inventory!A466)</f>
        <v>0</v>
      </c>
      <c r="I466" s="8">
        <f>SUMIFS('Product Master'!H:H,'Product Master'!D:D,Inventory!A466)+SUMIFS('Stock In-Out'!K:K,'Stock In-Out'!A:A,Inventory!A466)-SUMIFS('Stock In-Out'!L:L,'Stock In-Out'!A:A,Inventory!A466)</f>
        <v>0</v>
      </c>
      <c r="J466" s="8">
        <f>SUMIFS('Product Master'!I:I,'Product Master'!D:D,Inventory!A466)+SUMIFS('Stock In-Out'!M:M,'Stock In-Out'!A:A,Inventory!A466)-SUMIFS('Stock In-Out'!N:N,'Stock In-Out'!A:A,Inventory!A466)</f>
        <v>0</v>
      </c>
      <c r="K466" s="8" t="str">
        <f>IFERROR(VLOOKUP(A466,'Product Master'!D:N,7,0),"")</f>
        <v/>
      </c>
    </row>
    <row r="467" spans="1:11" x14ac:dyDescent="0.2">
      <c r="A467" s="1"/>
      <c r="B467" s="8">
        <f>SUMIFS('Stock In-Out'!D:D,'Stock In-Out'!B:B,"Opening Stock",'Stock In-Out'!A:A,Inventory!A467)</f>
        <v>0</v>
      </c>
      <c r="C467" s="8">
        <f>SUMIFS('Stock In-Out'!D:D,'Stock In-Out'!B:B,"In",'Stock In-Out'!A:A,Inventory!A467)</f>
        <v>0</v>
      </c>
      <c r="D467" s="8">
        <f>SUMIFS('Stock In-Out'!D:D,'Stock In-Out'!B:B,"Out",'Stock In-Out'!A:A,Inventory!A467)</f>
        <v>0</v>
      </c>
      <c r="E467" s="8">
        <f t="shared" si="8"/>
        <v>0</v>
      </c>
      <c r="F467" s="8" t="str">
        <f>IFERROR(VLOOKUP(A467,'Product Master'!D:N,10,0)*E467,"")</f>
        <v/>
      </c>
      <c r="G467" s="9" t="str">
        <f>IFERROR(VLOOKUP(A467,'Product Master'!D:N,11,0)*E467,"")</f>
        <v/>
      </c>
      <c r="H467" s="8">
        <f>SUMIFS('Product Master'!G:G,'Product Master'!D:D,Inventory!A467)+SUMIFS('Stock In-Out'!I:I,'Stock In-Out'!A:A,Inventory!A467)-SUMIFS('Stock In-Out'!J:J,'Stock In-Out'!A:A,Inventory!A467)</f>
        <v>0</v>
      </c>
      <c r="I467" s="8">
        <f>SUMIFS('Product Master'!H:H,'Product Master'!D:D,Inventory!A467)+SUMIFS('Stock In-Out'!K:K,'Stock In-Out'!A:A,Inventory!A467)-SUMIFS('Stock In-Out'!L:L,'Stock In-Out'!A:A,Inventory!A467)</f>
        <v>0</v>
      </c>
      <c r="J467" s="8">
        <f>SUMIFS('Product Master'!I:I,'Product Master'!D:D,Inventory!A467)+SUMIFS('Stock In-Out'!M:M,'Stock In-Out'!A:A,Inventory!A467)-SUMIFS('Stock In-Out'!N:N,'Stock In-Out'!A:A,Inventory!A467)</f>
        <v>0</v>
      </c>
      <c r="K467" s="8" t="str">
        <f>IFERROR(VLOOKUP(A467,'Product Master'!D:N,7,0),"")</f>
        <v/>
      </c>
    </row>
    <row r="468" spans="1:11" x14ac:dyDescent="0.2">
      <c r="A468" s="1"/>
      <c r="B468" s="8">
        <f>SUMIFS('Stock In-Out'!D:D,'Stock In-Out'!B:B,"Opening Stock",'Stock In-Out'!A:A,Inventory!A468)</f>
        <v>0</v>
      </c>
      <c r="C468" s="8">
        <f>SUMIFS('Stock In-Out'!D:D,'Stock In-Out'!B:B,"In",'Stock In-Out'!A:A,Inventory!A468)</f>
        <v>0</v>
      </c>
      <c r="D468" s="8">
        <f>SUMIFS('Stock In-Out'!D:D,'Stock In-Out'!B:B,"Out",'Stock In-Out'!A:A,Inventory!A468)</f>
        <v>0</v>
      </c>
      <c r="E468" s="8">
        <f t="shared" si="8"/>
        <v>0</v>
      </c>
      <c r="F468" s="8" t="str">
        <f>IFERROR(VLOOKUP(A468,'Product Master'!D:N,10,0)*E468,"")</f>
        <v/>
      </c>
      <c r="G468" s="9" t="str">
        <f>IFERROR(VLOOKUP(A468,'Product Master'!D:N,11,0)*E468,"")</f>
        <v/>
      </c>
      <c r="H468" s="8">
        <f>SUMIFS('Product Master'!G:G,'Product Master'!D:D,Inventory!A468)+SUMIFS('Stock In-Out'!I:I,'Stock In-Out'!A:A,Inventory!A468)-SUMIFS('Stock In-Out'!J:J,'Stock In-Out'!A:A,Inventory!A468)</f>
        <v>0</v>
      </c>
      <c r="I468" s="8">
        <f>SUMIFS('Product Master'!H:H,'Product Master'!D:D,Inventory!A468)+SUMIFS('Stock In-Out'!K:K,'Stock In-Out'!A:A,Inventory!A468)-SUMIFS('Stock In-Out'!L:L,'Stock In-Out'!A:A,Inventory!A468)</f>
        <v>0</v>
      </c>
      <c r="J468" s="8">
        <f>SUMIFS('Product Master'!I:I,'Product Master'!D:D,Inventory!A468)+SUMIFS('Stock In-Out'!M:M,'Stock In-Out'!A:A,Inventory!A468)-SUMIFS('Stock In-Out'!N:N,'Stock In-Out'!A:A,Inventory!A468)</f>
        <v>0</v>
      </c>
      <c r="K468" s="8" t="str">
        <f>IFERROR(VLOOKUP(A468,'Product Master'!D:N,7,0),"")</f>
        <v/>
      </c>
    </row>
    <row r="469" spans="1:11" x14ac:dyDescent="0.2">
      <c r="A469" s="1"/>
      <c r="B469" s="8">
        <f>SUMIFS('Stock In-Out'!D:D,'Stock In-Out'!B:B,"Opening Stock",'Stock In-Out'!A:A,Inventory!A469)</f>
        <v>0</v>
      </c>
      <c r="C469" s="8">
        <f>SUMIFS('Stock In-Out'!D:D,'Stock In-Out'!B:B,"In",'Stock In-Out'!A:A,Inventory!A469)</f>
        <v>0</v>
      </c>
      <c r="D469" s="8">
        <f>SUMIFS('Stock In-Out'!D:D,'Stock In-Out'!B:B,"Out",'Stock In-Out'!A:A,Inventory!A469)</f>
        <v>0</v>
      </c>
      <c r="E469" s="8">
        <f t="shared" si="8"/>
        <v>0</v>
      </c>
      <c r="F469" s="8" t="str">
        <f>IFERROR(VLOOKUP(A469,'Product Master'!D:N,10,0)*E469,"")</f>
        <v/>
      </c>
      <c r="G469" s="9" t="str">
        <f>IFERROR(VLOOKUP(A469,'Product Master'!D:N,11,0)*E469,"")</f>
        <v/>
      </c>
      <c r="H469" s="8">
        <f>SUMIFS('Product Master'!G:G,'Product Master'!D:D,Inventory!A469)+SUMIFS('Stock In-Out'!I:I,'Stock In-Out'!A:A,Inventory!A469)-SUMIFS('Stock In-Out'!J:J,'Stock In-Out'!A:A,Inventory!A469)</f>
        <v>0</v>
      </c>
      <c r="I469" s="8">
        <f>SUMIFS('Product Master'!H:H,'Product Master'!D:D,Inventory!A469)+SUMIFS('Stock In-Out'!K:K,'Stock In-Out'!A:A,Inventory!A469)-SUMIFS('Stock In-Out'!L:L,'Stock In-Out'!A:A,Inventory!A469)</f>
        <v>0</v>
      </c>
      <c r="J469" s="8">
        <f>SUMIFS('Product Master'!I:I,'Product Master'!D:D,Inventory!A469)+SUMIFS('Stock In-Out'!M:M,'Stock In-Out'!A:A,Inventory!A469)-SUMIFS('Stock In-Out'!N:N,'Stock In-Out'!A:A,Inventory!A469)</f>
        <v>0</v>
      </c>
      <c r="K469" s="8" t="str">
        <f>IFERROR(VLOOKUP(A469,'Product Master'!D:N,7,0),"")</f>
        <v/>
      </c>
    </row>
    <row r="470" spans="1:11" x14ac:dyDescent="0.2">
      <c r="A470" s="1"/>
      <c r="B470" s="8">
        <f>SUMIFS('Stock In-Out'!D:D,'Stock In-Out'!B:B,"Opening Stock",'Stock In-Out'!A:A,Inventory!A470)</f>
        <v>0</v>
      </c>
      <c r="C470" s="8">
        <f>SUMIFS('Stock In-Out'!D:D,'Stock In-Out'!B:B,"In",'Stock In-Out'!A:A,Inventory!A470)</f>
        <v>0</v>
      </c>
      <c r="D470" s="8">
        <f>SUMIFS('Stock In-Out'!D:D,'Stock In-Out'!B:B,"Out",'Stock In-Out'!A:A,Inventory!A470)</f>
        <v>0</v>
      </c>
      <c r="E470" s="8">
        <f t="shared" si="8"/>
        <v>0</v>
      </c>
      <c r="F470" s="8" t="str">
        <f>IFERROR(VLOOKUP(A470,'Product Master'!D:N,10,0)*E470,"")</f>
        <v/>
      </c>
      <c r="G470" s="9" t="str">
        <f>IFERROR(VLOOKUP(A470,'Product Master'!D:N,11,0)*E470,"")</f>
        <v/>
      </c>
      <c r="H470" s="8">
        <f>SUMIFS('Product Master'!G:G,'Product Master'!D:D,Inventory!A470)+SUMIFS('Stock In-Out'!I:I,'Stock In-Out'!A:A,Inventory!A470)-SUMIFS('Stock In-Out'!J:J,'Stock In-Out'!A:A,Inventory!A470)</f>
        <v>0</v>
      </c>
      <c r="I470" s="8">
        <f>SUMIFS('Product Master'!H:H,'Product Master'!D:D,Inventory!A470)+SUMIFS('Stock In-Out'!K:K,'Stock In-Out'!A:A,Inventory!A470)-SUMIFS('Stock In-Out'!L:L,'Stock In-Out'!A:A,Inventory!A470)</f>
        <v>0</v>
      </c>
      <c r="J470" s="8">
        <f>SUMIFS('Product Master'!I:I,'Product Master'!D:D,Inventory!A470)+SUMIFS('Stock In-Out'!M:M,'Stock In-Out'!A:A,Inventory!A470)-SUMIFS('Stock In-Out'!N:N,'Stock In-Out'!A:A,Inventory!A470)</f>
        <v>0</v>
      </c>
      <c r="K470" s="8" t="str">
        <f>IFERROR(VLOOKUP(A470,'Product Master'!D:N,7,0),"")</f>
        <v/>
      </c>
    </row>
    <row r="471" spans="1:11" x14ac:dyDescent="0.2">
      <c r="A471" s="1"/>
      <c r="B471" s="8">
        <f>SUMIFS('Stock In-Out'!D:D,'Stock In-Out'!B:B,"Opening Stock",'Stock In-Out'!A:A,Inventory!A471)</f>
        <v>0</v>
      </c>
      <c r="C471" s="8">
        <f>SUMIFS('Stock In-Out'!D:D,'Stock In-Out'!B:B,"In",'Stock In-Out'!A:A,Inventory!A471)</f>
        <v>0</v>
      </c>
      <c r="D471" s="8">
        <f>SUMIFS('Stock In-Out'!D:D,'Stock In-Out'!B:B,"Out",'Stock In-Out'!A:A,Inventory!A471)</f>
        <v>0</v>
      </c>
      <c r="E471" s="8">
        <f t="shared" si="8"/>
        <v>0</v>
      </c>
      <c r="F471" s="8" t="str">
        <f>IFERROR(VLOOKUP(A471,'Product Master'!D:N,10,0)*E471,"")</f>
        <v/>
      </c>
      <c r="G471" s="9" t="str">
        <f>IFERROR(VLOOKUP(A471,'Product Master'!D:N,11,0)*E471,"")</f>
        <v/>
      </c>
      <c r="H471" s="8">
        <f>SUMIFS('Product Master'!G:G,'Product Master'!D:D,Inventory!A471)+SUMIFS('Stock In-Out'!I:I,'Stock In-Out'!A:A,Inventory!A471)-SUMIFS('Stock In-Out'!J:J,'Stock In-Out'!A:A,Inventory!A471)</f>
        <v>0</v>
      </c>
      <c r="I471" s="8">
        <f>SUMIFS('Product Master'!H:H,'Product Master'!D:D,Inventory!A471)+SUMIFS('Stock In-Out'!K:K,'Stock In-Out'!A:A,Inventory!A471)-SUMIFS('Stock In-Out'!L:L,'Stock In-Out'!A:A,Inventory!A471)</f>
        <v>0</v>
      </c>
      <c r="J471" s="8">
        <f>SUMIFS('Product Master'!I:I,'Product Master'!D:D,Inventory!A471)+SUMIFS('Stock In-Out'!M:M,'Stock In-Out'!A:A,Inventory!A471)-SUMIFS('Stock In-Out'!N:N,'Stock In-Out'!A:A,Inventory!A471)</f>
        <v>0</v>
      </c>
      <c r="K471" s="8" t="str">
        <f>IFERROR(VLOOKUP(A471,'Product Master'!D:N,7,0),"")</f>
        <v/>
      </c>
    </row>
    <row r="472" spans="1:11" x14ac:dyDescent="0.2">
      <c r="A472" s="1"/>
      <c r="B472" s="8">
        <f>SUMIFS('Stock In-Out'!D:D,'Stock In-Out'!B:B,"Opening Stock",'Stock In-Out'!A:A,Inventory!A472)</f>
        <v>0</v>
      </c>
      <c r="C472" s="8">
        <f>SUMIFS('Stock In-Out'!D:D,'Stock In-Out'!B:B,"In",'Stock In-Out'!A:A,Inventory!A472)</f>
        <v>0</v>
      </c>
      <c r="D472" s="8">
        <f>SUMIFS('Stock In-Out'!D:D,'Stock In-Out'!B:B,"Out",'Stock In-Out'!A:A,Inventory!A472)</f>
        <v>0</v>
      </c>
      <c r="E472" s="8">
        <f t="shared" si="8"/>
        <v>0</v>
      </c>
      <c r="F472" s="8" t="str">
        <f>IFERROR(VLOOKUP(A472,'Product Master'!D:N,10,0)*E472,"")</f>
        <v/>
      </c>
      <c r="G472" s="9" t="str">
        <f>IFERROR(VLOOKUP(A472,'Product Master'!D:N,11,0)*E472,"")</f>
        <v/>
      </c>
      <c r="H472" s="8">
        <f>SUMIFS('Product Master'!G:G,'Product Master'!D:D,Inventory!A472)+SUMIFS('Stock In-Out'!I:I,'Stock In-Out'!A:A,Inventory!A472)-SUMIFS('Stock In-Out'!J:J,'Stock In-Out'!A:A,Inventory!A472)</f>
        <v>0</v>
      </c>
      <c r="I472" s="8">
        <f>SUMIFS('Product Master'!H:H,'Product Master'!D:D,Inventory!A472)+SUMIFS('Stock In-Out'!K:K,'Stock In-Out'!A:A,Inventory!A472)-SUMIFS('Stock In-Out'!L:L,'Stock In-Out'!A:A,Inventory!A472)</f>
        <v>0</v>
      </c>
      <c r="J472" s="8">
        <f>SUMIFS('Product Master'!I:I,'Product Master'!D:D,Inventory!A472)+SUMIFS('Stock In-Out'!M:M,'Stock In-Out'!A:A,Inventory!A472)-SUMIFS('Stock In-Out'!N:N,'Stock In-Out'!A:A,Inventory!A472)</f>
        <v>0</v>
      </c>
      <c r="K472" s="8" t="str">
        <f>IFERROR(VLOOKUP(A472,'Product Master'!D:N,7,0),"")</f>
        <v/>
      </c>
    </row>
    <row r="473" spans="1:11" x14ac:dyDescent="0.2">
      <c r="A473" s="1"/>
      <c r="B473" s="8">
        <f>SUMIFS('Stock In-Out'!D:D,'Stock In-Out'!B:B,"Opening Stock",'Stock In-Out'!A:A,Inventory!A473)</f>
        <v>0</v>
      </c>
      <c r="C473" s="8">
        <f>SUMIFS('Stock In-Out'!D:D,'Stock In-Out'!B:B,"In",'Stock In-Out'!A:A,Inventory!A473)</f>
        <v>0</v>
      </c>
      <c r="D473" s="8">
        <f>SUMIFS('Stock In-Out'!D:D,'Stock In-Out'!B:B,"Out",'Stock In-Out'!A:A,Inventory!A473)</f>
        <v>0</v>
      </c>
      <c r="E473" s="8">
        <f t="shared" si="8"/>
        <v>0</v>
      </c>
      <c r="F473" s="8" t="str">
        <f>IFERROR(VLOOKUP(A473,'Product Master'!D:N,10,0)*E473,"")</f>
        <v/>
      </c>
      <c r="G473" s="9" t="str">
        <f>IFERROR(VLOOKUP(A473,'Product Master'!D:N,11,0)*E473,"")</f>
        <v/>
      </c>
      <c r="H473" s="8">
        <f>SUMIFS('Product Master'!G:G,'Product Master'!D:D,Inventory!A473)+SUMIFS('Stock In-Out'!I:I,'Stock In-Out'!A:A,Inventory!A473)-SUMIFS('Stock In-Out'!J:J,'Stock In-Out'!A:A,Inventory!A473)</f>
        <v>0</v>
      </c>
      <c r="I473" s="8">
        <f>SUMIFS('Product Master'!H:H,'Product Master'!D:D,Inventory!A473)+SUMIFS('Stock In-Out'!K:K,'Stock In-Out'!A:A,Inventory!A473)-SUMIFS('Stock In-Out'!L:L,'Stock In-Out'!A:A,Inventory!A473)</f>
        <v>0</v>
      </c>
      <c r="J473" s="8">
        <f>SUMIFS('Product Master'!I:I,'Product Master'!D:D,Inventory!A473)+SUMIFS('Stock In-Out'!M:M,'Stock In-Out'!A:A,Inventory!A473)-SUMIFS('Stock In-Out'!N:N,'Stock In-Out'!A:A,Inventory!A473)</f>
        <v>0</v>
      </c>
      <c r="K473" s="8" t="str">
        <f>IFERROR(VLOOKUP(A473,'Product Master'!D:N,7,0),"")</f>
        <v/>
      </c>
    </row>
    <row r="474" spans="1:11" x14ac:dyDescent="0.2">
      <c r="A474" s="1"/>
      <c r="B474" s="8">
        <f>SUMIFS('Stock In-Out'!D:D,'Stock In-Out'!B:B,"Opening Stock",'Stock In-Out'!A:A,Inventory!A474)</f>
        <v>0</v>
      </c>
      <c r="C474" s="8">
        <f>SUMIFS('Stock In-Out'!D:D,'Stock In-Out'!B:B,"In",'Stock In-Out'!A:A,Inventory!A474)</f>
        <v>0</v>
      </c>
      <c r="D474" s="8">
        <f>SUMIFS('Stock In-Out'!D:D,'Stock In-Out'!B:B,"Out",'Stock In-Out'!A:A,Inventory!A474)</f>
        <v>0</v>
      </c>
      <c r="E474" s="8">
        <f t="shared" si="8"/>
        <v>0</v>
      </c>
      <c r="F474" s="8" t="str">
        <f>IFERROR(VLOOKUP(A474,'Product Master'!D:N,10,0)*E474,"")</f>
        <v/>
      </c>
      <c r="G474" s="9" t="str">
        <f>IFERROR(VLOOKUP(A474,'Product Master'!D:N,11,0)*E474,"")</f>
        <v/>
      </c>
      <c r="H474" s="8">
        <f>SUMIFS('Product Master'!G:G,'Product Master'!D:D,Inventory!A474)+SUMIFS('Stock In-Out'!I:I,'Stock In-Out'!A:A,Inventory!A474)-SUMIFS('Stock In-Out'!J:J,'Stock In-Out'!A:A,Inventory!A474)</f>
        <v>0</v>
      </c>
      <c r="I474" s="8">
        <f>SUMIFS('Product Master'!H:H,'Product Master'!D:D,Inventory!A474)+SUMIFS('Stock In-Out'!K:K,'Stock In-Out'!A:A,Inventory!A474)-SUMIFS('Stock In-Out'!L:L,'Stock In-Out'!A:A,Inventory!A474)</f>
        <v>0</v>
      </c>
      <c r="J474" s="8">
        <f>SUMIFS('Product Master'!I:I,'Product Master'!D:D,Inventory!A474)+SUMIFS('Stock In-Out'!M:M,'Stock In-Out'!A:A,Inventory!A474)-SUMIFS('Stock In-Out'!N:N,'Stock In-Out'!A:A,Inventory!A474)</f>
        <v>0</v>
      </c>
      <c r="K474" s="8" t="str">
        <f>IFERROR(VLOOKUP(A474,'Product Master'!D:N,7,0),"")</f>
        <v/>
      </c>
    </row>
    <row r="475" spans="1:11" x14ac:dyDescent="0.2">
      <c r="A475" s="1"/>
      <c r="B475" s="8">
        <f>SUMIFS('Stock In-Out'!D:D,'Stock In-Out'!B:B,"Opening Stock",'Stock In-Out'!A:A,Inventory!A475)</f>
        <v>0</v>
      </c>
      <c r="C475" s="8">
        <f>SUMIFS('Stock In-Out'!D:D,'Stock In-Out'!B:B,"In",'Stock In-Out'!A:A,Inventory!A475)</f>
        <v>0</v>
      </c>
      <c r="D475" s="8">
        <f>SUMIFS('Stock In-Out'!D:D,'Stock In-Out'!B:B,"Out",'Stock In-Out'!A:A,Inventory!A475)</f>
        <v>0</v>
      </c>
      <c r="E475" s="8">
        <f t="shared" si="8"/>
        <v>0</v>
      </c>
      <c r="F475" s="8" t="str">
        <f>IFERROR(VLOOKUP(A475,'Product Master'!D:N,10,0)*E475,"")</f>
        <v/>
      </c>
      <c r="G475" s="9" t="str">
        <f>IFERROR(VLOOKUP(A475,'Product Master'!D:N,11,0)*E475,"")</f>
        <v/>
      </c>
      <c r="H475" s="8">
        <f>SUMIFS('Product Master'!G:G,'Product Master'!D:D,Inventory!A475)+SUMIFS('Stock In-Out'!I:I,'Stock In-Out'!A:A,Inventory!A475)-SUMIFS('Stock In-Out'!J:J,'Stock In-Out'!A:A,Inventory!A475)</f>
        <v>0</v>
      </c>
      <c r="I475" s="8">
        <f>SUMIFS('Product Master'!H:H,'Product Master'!D:D,Inventory!A475)+SUMIFS('Stock In-Out'!K:K,'Stock In-Out'!A:A,Inventory!A475)-SUMIFS('Stock In-Out'!L:L,'Stock In-Out'!A:A,Inventory!A475)</f>
        <v>0</v>
      </c>
      <c r="J475" s="8">
        <f>SUMIFS('Product Master'!I:I,'Product Master'!D:D,Inventory!A475)+SUMIFS('Stock In-Out'!M:M,'Stock In-Out'!A:A,Inventory!A475)-SUMIFS('Stock In-Out'!N:N,'Stock In-Out'!A:A,Inventory!A475)</f>
        <v>0</v>
      </c>
      <c r="K475" s="8" t="str">
        <f>IFERROR(VLOOKUP(A475,'Product Master'!D:N,7,0),"")</f>
        <v/>
      </c>
    </row>
    <row r="476" spans="1:11" x14ac:dyDescent="0.2">
      <c r="A476" s="1"/>
      <c r="B476" s="8">
        <f>SUMIFS('Stock In-Out'!D:D,'Stock In-Out'!B:B,"Opening Stock",'Stock In-Out'!A:A,Inventory!A476)</f>
        <v>0</v>
      </c>
      <c r="C476" s="8">
        <f>SUMIFS('Stock In-Out'!D:D,'Stock In-Out'!B:B,"In",'Stock In-Out'!A:A,Inventory!A476)</f>
        <v>0</v>
      </c>
      <c r="D476" s="8">
        <f>SUMIFS('Stock In-Out'!D:D,'Stock In-Out'!B:B,"Out",'Stock In-Out'!A:A,Inventory!A476)</f>
        <v>0</v>
      </c>
      <c r="E476" s="8">
        <f t="shared" si="8"/>
        <v>0</v>
      </c>
      <c r="F476" s="8" t="str">
        <f>IFERROR(VLOOKUP(A476,'Product Master'!D:N,10,0)*E476,"")</f>
        <v/>
      </c>
      <c r="G476" s="9" t="str">
        <f>IFERROR(VLOOKUP(A476,'Product Master'!D:N,11,0)*E476,"")</f>
        <v/>
      </c>
      <c r="H476" s="8">
        <f>SUMIFS('Product Master'!G:G,'Product Master'!D:D,Inventory!A476)+SUMIFS('Stock In-Out'!I:I,'Stock In-Out'!A:A,Inventory!A476)-SUMIFS('Stock In-Out'!J:J,'Stock In-Out'!A:A,Inventory!A476)</f>
        <v>0</v>
      </c>
      <c r="I476" s="8">
        <f>SUMIFS('Product Master'!H:H,'Product Master'!D:D,Inventory!A476)+SUMIFS('Stock In-Out'!K:K,'Stock In-Out'!A:A,Inventory!A476)-SUMIFS('Stock In-Out'!L:L,'Stock In-Out'!A:A,Inventory!A476)</f>
        <v>0</v>
      </c>
      <c r="J476" s="8">
        <f>SUMIFS('Product Master'!I:I,'Product Master'!D:D,Inventory!A476)+SUMIFS('Stock In-Out'!M:M,'Stock In-Out'!A:A,Inventory!A476)-SUMIFS('Stock In-Out'!N:N,'Stock In-Out'!A:A,Inventory!A476)</f>
        <v>0</v>
      </c>
      <c r="K476" s="8" t="str">
        <f>IFERROR(VLOOKUP(A476,'Product Master'!D:N,7,0),"")</f>
        <v/>
      </c>
    </row>
    <row r="477" spans="1:11" x14ac:dyDescent="0.2">
      <c r="A477" s="1"/>
      <c r="B477" s="8">
        <f>SUMIFS('Stock In-Out'!D:D,'Stock In-Out'!B:B,"Opening Stock",'Stock In-Out'!A:A,Inventory!A477)</f>
        <v>0</v>
      </c>
      <c r="C477" s="8">
        <f>SUMIFS('Stock In-Out'!D:D,'Stock In-Out'!B:B,"In",'Stock In-Out'!A:A,Inventory!A477)</f>
        <v>0</v>
      </c>
      <c r="D477" s="8">
        <f>SUMIFS('Stock In-Out'!D:D,'Stock In-Out'!B:B,"Out",'Stock In-Out'!A:A,Inventory!A477)</f>
        <v>0</v>
      </c>
      <c r="E477" s="8">
        <f t="shared" si="8"/>
        <v>0</v>
      </c>
      <c r="F477" s="8" t="str">
        <f>IFERROR(VLOOKUP(A477,'Product Master'!D:N,10,0)*E477,"")</f>
        <v/>
      </c>
      <c r="G477" s="9" t="str">
        <f>IFERROR(VLOOKUP(A477,'Product Master'!D:N,11,0)*E477,"")</f>
        <v/>
      </c>
      <c r="H477" s="8">
        <f>SUMIFS('Product Master'!G:G,'Product Master'!D:D,Inventory!A477)+SUMIFS('Stock In-Out'!I:I,'Stock In-Out'!A:A,Inventory!A477)-SUMIFS('Stock In-Out'!J:J,'Stock In-Out'!A:A,Inventory!A477)</f>
        <v>0</v>
      </c>
      <c r="I477" s="8">
        <f>SUMIFS('Product Master'!H:H,'Product Master'!D:D,Inventory!A477)+SUMIFS('Stock In-Out'!K:K,'Stock In-Out'!A:A,Inventory!A477)-SUMIFS('Stock In-Out'!L:L,'Stock In-Out'!A:A,Inventory!A477)</f>
        <v>0</v>
      </c>
      <c r="J477" s="8">
        <f>SUMIFS('Product Master'!I:I,'Product Master'!D:D,Inventory!A477)+SUMIFS('Stock In-Out'!M:M,'Stock In-Out'!A:A,Inventory!A477)-SUMIFS('Stock In-Out'!N:N,'Stock In-Out'!A:A,Inventory!A477)</f>
        <v>0</v>
      </c>
      <c r="K477" s="8" t="str">
        <f>IFERROR(VLOOKUP(A477,'Product Master'!D:N,7,0),"")</f>
        <v/>
      </c>
    </row>
    <row r="478" spans="1:11" x14ac:dyDescent="0.2">
      <c r="A478" s="1"/>
      <c r="B478" s="8">
        <f>SUMIFS('Stock In-Out'!D:D,'Stock In-Out'!B:B,"Opening Stock",'Stock In-Out'!A:A,Inventory!A478)</f>
        <v>0</v>
      </c>
      <c r="C478" s="8">
        <f>SUMIFS('Stock In-Out'!D:D,'Stock In-Out'!B:B,"In",'Stock In-Out'!A:A,Inventory!A478)</f>
        <v>0</v>
      </c>
      <c r="D478" s="8">
        <f>SUMIFS('Stock In-Out'!D:D,'Stock In-Out'!B:B,"Out",'Stock In-Out'!A:A,Inventory!A478)</f>
        <v>0</v>
      </c>
      <c r="E478" s="8">
        <f t="shared" si="8"/>
        <v>0</v>
      </c>
      <c r="F478" s="8" t="str">
        <f>IFERROR(VLOOKUP(A478,'Product Master'!D:N,10,0)*E478,"")</f>
        <v/>
      </c>
      <c r="G478" s="9" t="str">
        <f>IFERROR(VLOOKUP(A478,'Product Master'!D:N,11,0)*E478,"")</f>
        <v/>
      </c>
      <c r="H478" s="8">
        <f>SUMIFS('Product Master'!G:G,'Product Master'!D:D,Inventory!A478)+SUMIFS('Stock In-Out'!I:I,'Stock In-Out'!A:A,Inventory!A478)-SUMIFS('Stock In-Out'!J:J,'Stock In-Out'!A:A,Inventory!A478)</f>
        <v>0</v>
      </c>
      <c r="I478" s="8">
        <f>SUMIFS('Product Master'!H:H,'Product Master'!D:D,Inventory!A478)+SUMIFS('Stock In-Out'!K:K,'Stock In-Out'!A:A,Inventory!A478)-SUMIFS('Stock In-Out'!L:L,'Stock In-Out'!A:A,Inventory!A478)</f>
        <v>0</v>
      </c>
      <c r="J478" s="8">
        <f>SUMIFS('Product Master'!I:I,'Product Master'!D:D,Inventory!A478)+SUMIFS('Stock In-Out'!M:M,'Stock In-Out'!A:A,Inventory!A478)-SUMIFS('Stock In-Out'!N:N,'Stock In-Out'!A:A,Inventory!A478)</f>
        <v>0</v>
      </c>
      <c r="K478" s="8" t="str">
        <f>IFERROR(VLOOKUP(A478,'Product Master'!D:N,7,0),"")</f>
        <v/>
      </c>
    </row>
    <row r="479" spans="1:11" x14ac:dyDescent="0.2">
      <c r="A479" s="1"/>
      <c r="B479" s="8">
        <f>SUMIFS('Stock In-Out'!D:D,'Stock In-Out'!B:B,"Opening Stock",'Stock In-Out'!A:A,Inventory!A479)</f>
        <v>0</v>
      </c>
      <c r="C479" s="8">
        <f>SUMIFS('Stock In-Out'!D:D,'Stock In-Out'!B:B,"In",'Stock In-Out'!A:A,Inventory!A479)</f>
        <v>0</v>
      </c>
      <c r="D479" s="8">
        <f>SUMIFS('Stock In-Out'!D:D,'Stock In-Out'!B:B,"Out",'Stock In-Out'!A:A,Inventory!A479)</f>
        <v>0</v>
      </c>
      <c r="E479" s="8">
        <f t="shared" si="8"/>
        <v>0</v>
      </c>
      <c r="F479" s="8" t="str">
        <f>IFERROR(VLOOKUP(A479,'Product Master'!D:N,10,0)*E479,"")</f>
        <v/>
      </c>
      <c r="G479" s="9" t="str">
        <f>IFERROR(VLOOKUP(A479,'Product Master'!D:N,11,0)*E479,"")</f>
        <v/>
      </c>
      <c r="H479" s="8">
        <f>SUMIFS('Product Master'!G:G,'Product Master'!D:D,Inventory!A479)+SUMIFS('Stock In-Out'!I:I,'Stock In-Out'!A:A,Inventory!A479)-SUMIFS('Stock In-Out'!J:J,'Stock In-Out'!A:A,Inventory!A479)</f>
        <v>0</v>
      </c>
      <c r="I479" s="8">
        <f>SUMIFS('Product Master'!H:H,'Product Master'!D:D,Inventory!A479)+SUMIFS('Stock In-Out'!K:K,'Stock In-Out'!A:A,Inventory!A479)-SUMIFS('Stock In-Out'!L:L,'Stock In-Out'!A:A,Inventory!A479)</f>
        <v>0</v>
      </c>
      <c r="J479" s="8">
        <f>SUMIFS('Product Master'!I:I,'Product Master'!D:D,Inventory!A479)+SUMIFS('Stock In-Out'!M:M,'Stock In-Out'!A:A,Inventory!A479)-SUMIFS('Stock In-Out'!N:N,'Stock In-Out'!A:A,Inventory!A479)</f>
        <v>0</v>
      </c>
      <c r="K479" s="8" t="str">
        <f>IFERROR(VLOOKUP(A479,'Product Master'!D:N,7,0),"")</f>
        <v/>
      </c>
    </row>
    <row r="480" spans="1:11" x14ac:dyDescent="0.2">
      <c r="A480" s="1"/>
      <c r="B480" s="8">
        <f>SUMIFS('Stock In-Out'!D:D,'Stock In-Out'!B:B,"Opening Stock",'Stock In-Out'!A:A,Inventory!A480)</f>
        <v>0</v>
      </c>
      <c r="C480" s="8">
        <f>SUMIFS('Stock In-Out'!D:D,'Stock In-Out'!B:B,"In",'Stock In-Out'!A:A,Inventory!A480)</f>
        <v>0</v>
      </c>
      <c r="D480" s="8">
        <f>SUMIFS('Stock In-Out'!D:D,'Stock In-Out'!B:B,"Out",'Stock In-Out'!A:A,Inventory!A480)</f>
        <v>0</v>
      </c>
      <c r="E480" s="8">
        <f t="shared" si="8"/>
        <v>0</v>
      </c>
      <c r="F480" s="8" t="str">
        <f>IFERROR(VLOOKUP(A480,'Product Master'!D:N,10,0)*E480,"")</f>
        <v/>
      </c>
      <c r="G480" s="9" t="str">
        <f>IFERROR(VLOOKUP(A480,'Product Master'!D:N,11,0)*E480,"")</f>
        <v/>
      </c>
      <c r="H480" s="8">
        <f>SUMIFS('Product Master'!G:G,'Product Master'!D:D,Inventory!A480)+SUMIFS('Stock In-Out'!I:I,'Stock In-Out'!A:A,Inventory!A480)-SUMIFS('Stock In-Out'!J:J,'Stock In-Out'!A:A,Inventory!A480)</f>
        <v>0</v>
      </c>
      <c r="I480" s="8">
        <f>SUMIFS('Product Master'!H:H,'Product Master'!D:D,Inventory!A480)+SUMIFS('Stock In-Out'!K:K,'Stock In-Out'!A:A,Inventory!A480)-SUMIFS('Stock In-Out'!L:L,'Stock In-Out'!A:A,Inventory!A480)</f>
        <v>0</v>
      </c>
      <c r="J480" s="8">
        <f>SUMIFS('Product Master'!I:I,'Product Master'!D:D,Inventory!A480)+SUMIFS('Stock In-Out'!M:M,'Stock In-Out'!A:A,Inventory!A480)-SUMIFS('Stock In-Out'!N:N,'Stock In-Out'!A:A,Inventory!A480)</f>
        <v>0</v>
      </c>
      <c r="K480" s="8" t="str">
        <f>IFERROR(VLOOKUP(A480,'Product Master'!D:N,7,0),"")</f>
        <v/>
      </c>
    </row>
    <row r="481" spans="1:11" x14ac:dyDescent="0.2">
      <c r="A481" s="1"/>
      <c r="B481" s="8">
        <f>SUMIFS('Stock In-Out'!D:D,'Stock In-Out'!B:B,"Opening Stock",'Stock In-Out'!A:A,Inventory!A481)</f>
        <v>0</v>
      </c>
      <c r="C481" s="8">
        <f>SUMIFS('Stock In-Out'!D:D,'Stock In-Out'!B:B,"In",'Stock In-Out'!A:A,Inventory!A481)</f>
        <v>0</v>
      </c>
      <c r="D481" s="8">
        <f>SUMIFS('Stock In-Out'!D:D,'Stock In-Out'!B:B,"Out",'Stock In-Out'!A:A,Inventory!A481)</f>
        <v>0</v>
      </c>
      <c r="E481" s="8">
        <f t="shared" si="8"/>
        <v>0</v>
      </c>
      <c r="F481" s="8" t="str">
        <f>IFERROR(VLOOKUP(A481,'Product Master'!D:N,10,0)*E481,"")</f>
        <v/>
      </c>
      <c r="G481" s="9" t="str">
        <f>IFERROR(VLOOKUP(A481,'Product Master'!D:N,11,0)*E481,"")</f>
        <v/>
      </c>
      <c r="H481" s="8">
        <f>SUMIFS('Product Master'!G:G,'Product Master'!D:D,Inventory!A481)+SUMIFS('Stock In-Out'!I:I,'Stock In-Out'!A:A,Inventory!A481)-SUMIFS('Stock In-Out'!J:J,'Stock In-Out'!A:A,Inventory!A481)</f>
        <v>0</v>
      </c>
      <c r="I481" s="8">
        <f>SUMIFS('Product Master'!H:H,'Product Master'!D:D,Inventory!A481)+SUMIFS('Stock In-Out'!K:K,'Stock In-Out'!A:A,Inventory!A481)-SUMIFS('Stock In-Out'!L:L,'Stock In-Out'!A:A,Inventory!A481)</f>
        <v>0</v>
      </c>
      <c r="J481" s="8">
        <f>SUMIFS('Product Master'!I:I,'Product Master'!D:D,Inventory!A481)+SUMIFS('Stock In-Out'!M:M,'Stock In-Out'!A:A,Inventory!A481)-SUMIFS('Stock In-Out'!N:N,'Stock In-Out'!A:A,Inventory!A481)</f>
        <v>0</v>
      </c>
      <c r="K481" s="8" t="str">
        <f>IFERROR(VLOOKUP(A481,'Product Master'!D:N,7,0),"")</f>
        <v/>
      </c>
    </row>
    <row r="482" spans="1:11" x14ac:dyDescent="0.2">
      <c r="A482" s="1"/>
      <c r="B482" s="8">
        <f>SUMIFS('Stock In-Out'!D:D,'Stock In-Out'!B:B,"Opening Stock",'Stock In-Out'!A:A,Inventory!A482)</f>
        <v>0</v>
      </c>
      <c r="C482" s="8">
        <f>SUMIFS('Stock In-Out'!D:D,'Stock In-Out'!B:B,"In",'Stock In-Out'!A:A,Inventory!A482)</f>
        <v>0</v>
      </c>
      <c r="D482" s="8">
        <f>SUMIFS('Stock In-Out'!D:D,'Stock In-Out'!B:B,"Out",'Stock In-Out'!A:A,Inventory!A482)</f>
        <v>0</v>
      </c>
      <c r="E482" s="8">
        <f t="shared" si="8"/>
        <v>0</v>
      </c>
      <c r="F482" s="8" t="str">
        <f>IFERROR(VLOOKUP(A482,'Product Master'!D:N,10,0)*E482,"")</f>
        <v/>
      </c>
      <c r="G482" s="9" t="str">
        <f>IFERROR(VLOOKUP(A482,'Product Master'!D:N,11,0)*E482,"")</f>
        <v/>
      </c>
      <c r="H482" s="8">
        <f>SUMIFS('Product Master'!G:G,'Product Master'!D:D,Inventory!A482)+SUMIFS('Stock In-Out'!I:I,'Stock In-Out'!A:A,Inventory!A482)-SUMIFS('Stock In-Out'!J:J,'Stock In-Out'!A:A,Inventory!A482)</f>
        <v>0</v>
      </c>
      <c r="I482" s="8">
        <f>SUMIFS('Product Master'!H:H,'Product Master'!D:D,Inventory!A482)+SUMIFS('Stock In-Out'!K:K,'Stock In-Out'!A:A,Inventory!A482)-SUMIFS('Stock In-Out'!L:L,'Stock In-Out'!A:A,Inventory!A482)</f>
        <v>0</v>
      </c>
      <c r="J482" s="8">
        <f>SUMIFS('Product Master'!I:I,'Product Master'!D:D,Inventory!A482)+SUMIFS('Stock In-Out'!M:M,'Stock In-Out'!A:A,Inventory!A482)-SUMIFS('Stock In-Out'!N:N,'Stock In-Out'!A:A,Inventory!A482)</f>
        <v>0</v>
      </c>
      <c r="K482" s="8" t="str">
        <f>IFERROR(VLOOKUP(A482,'Product Master'!D:N,7,0),"")</f>
        <v/>
      </c>
    </row>
    <row r="483" spans="1:11" x14ac:dyDescent="0.2">
      <c r="A483" s="1"/>
      <c r="B483" s="8">
        <f>SUMIFS('Stock In-Out'!D:D,'Stock In-Out'!B:B,"Opening Stock",'Stock In-Out'!A:A,Inventory!A483)</f>
        <v>0</v>
      </c>
      <c r="C483" s="8">
        <f>SUMIFS('Stock In-Out'!D:D,'Stock In-Out'!B:B,"In",'Stock In-Out'!A:A,Inventory!A483)</f>
        <v>0</v>
      </c>
      <c r="D483" s="8">
        <f>SUMIFS('Stock In-Out'!D:D,'Stock In-Out'!B:B,"Out",'Stock In-Out'!A:A,Inventory!A483)</f>
        <v>0</v>
      </c>
      <c r="E483" s="8">
        <f t="shared" si="8"/>
        <v>0</v>
      </c>
      <c r="F483" s="8" t="str">
        <f>IFERROR(VLOOKUP(A483,'Product Master'!D:N,10,0)*E483,"")</f>
        <v/>
      </c>
      <c r="G483" s="9" t="str">
        <f>IFERROR(VLOOKUP(A483,'Product Master'!D:N,11,0)*E483,"")</f>
        <v/>
      </c>
      <c r="H483" s="8">
        <f>SUMIFS('Product Master'!G:G,'Product Master'!D:D,Inventory!A483)+SUMIFS('Stock In-Out'!I:I,'Stock In-Out'!A:A,Inventory!A483)-SUMIFS('Stock In-Out'!J:J,'Stock In-Out'!A:A,Inventory!A483)</f>
        <v>0</v>
      </c>
      <c r="I483" s="8">
        <f>SUMIFS('Product Master'!H:H,'Product Master'!D:D,Inventory!A483)+SUMIFS('Stock In-Out'!K:K,'Stock In-Out'!A:A,Inventory!A483)-SUMIFS('Stock In-Out'!L:L,'Stock In-Out'!A:A,Inventory!A483)</f>
        <v>0</v>
      </c>
      <c r="J483" s="8">
        <f>SUMIFS('Product Master'!I:I,'Product Master'!D:D,Inventory!A483)+SUMIFS('Stock In-Out'!M:M,'Stock In-Out'!A:A,Inventory!A483)-SUMIFS('Stock In-Out'!N:N,'Stock In-Out'!A:A,Inventory!A483)</f>
        <v>0</v>
      </c>
      <c r="K483" s="8" t="str">
        <f>IFERROR(VLOOKUP(A483,'Product Master'!D:N,7,0),"")</f>
        <v/>
      </c>
    </row>
    <row r="484" spans="1:11" x14ac:dyDescent="0.2">
      <c r="A484" s="1"/>
      <c r="B484" s="8">
        <f>SUMIFS('Stock In-Out'!D:D,'Stock In-Out'!B:B,"Opening Stock",'Stock In-Out'!A:A,Inventory!A484)</f>
        <v>0</v>
      </c>
      <c r="C484" s="8">
        <f>SUMIFS('Stock In-Out'!D:D,'Stock In-Out'!B:B,"In",'Stock In-Out'!A:A,Inventory!A484)</f>
        <v>0</v>
      </c>
      <c r="D484" s="8">
        <f>SUMIFS('Stock In-Out'!D:D,'Stock In-Out'!B:B,"Out",'Stock In-Out'!A:A,Inventory!A484)</f>
        <v>0</v>
      </c>
      <c r="E484" s="8">
        <f t="shared" si="8"/>
        <v>0</v>
      </c>
      <c r="F484" s="8" t="str">
        <f>IFERROR(VLOOKUP(A484,'Product Master'!D:N,10,0)*E484,"")</f>
        <v/>
      </c>
      <c r="G484" s="9" t="str">
        <f>IFERROR(VLOOKUP(A484,'Product Master'!D:N,11,0)*E484,"")</f>
        <v/>
      </c>
      <c r="H484" s="8">
        <f>SUMIFS('Product Master'!G:G,'Product Master'!D:D,Inventory!A484)+SUMIFS('Stock In-Out'!I:I,'Stock In-Out'!A:A,Inventory!A484)-SUMIFS('Stock In-Out'!J:J,'Stock In-Out'!A:A,Inventory!A484)</f>
        <v>0</v>
      </c>
      <c r="I484" s="8">
        <f>SUMIFS('Product Master'!H:H,'Product Master'!D:D,Inventory!A484)+SUMIFS('Stock In-Out'!K:K,'Stock In-Out'!A:A,Inventory!A484)-SUMIFS('Stock In-Out'!L:L,'Stock In-Out'!A:A,Inventory!A484)</f>
        <v>0</v>
      </c>
      <c r="J484" s="8">
        <f>SUMIFS('Product Master'!I:I,'Product Master'!D:D,Inventory!A484)+SUMIFS('Stock In-Out'!M:M,'Stock In-Out'!A:A,Inventory!A484)-SUMIFS('Stock In-Out'!N:N,'Stock In-Out'!A:A,Inventory!A484)</f>
        <v>0</v>
      </c>
      <c r="K484" s="8" t="str">
        <f>IFERROR(VLOOKUP(A484,'Product Master'!D:N,7,0),"")</f>
        <v/>
      </c>
    </row>
    <row r="485" spans="1:11" x14ac:dyDescent="0.2">
      <c r="A485" s="1"/>
      <c r="B485" s="8">
        <f>SUMIFS('Stock In-Out'!D:D,'Stock In-Out'!B:B,"Opening Stock",'Stock In-Out'!A:A,Inventory!A485)</f>
        <v>0</v>
      </c>
      <c r="C485" s="8">
        <f>SUMIFS('Stock In-Out'!D:D,'Stock In-Out'!B:B,"In",'Stock In-Out'!A:A,Inventory!A485)</f>
        <v>0</v>
      </c>
      <c r="D485" s="8">
        <f>SUMIFS('Stock In-Out'!D:D,'Stock In-Out'!B:B,"Out",'Stock In-Out'!A:A,Inventory!A485)</f>
        <v>0</v>
      </c>
      <c r="E485" s="8">
        <f t="shared" si="8"/>
        <v>0</v>
      </c>
      <c r="F485" s="8" t="str">
        <f>IFERROR(VLOOKUP(A485,'Product Master'!D:N,10,0)*E485,"")</f>
        <v/>
      </c>
      <c r="G485" s="9" t="str">
        <f>IFERROR(VLOOKUP(A485,'Product Master'!D:N,11,0)*E485,"")</f>
        <v/>
      </c>
      <c r="H485" s="8">
        <f>SUMIFS('Product Master'!G:G,'Product Master'!D:D,Inventory!A485)+SUMIFS('Stock In-Out'!I:I,'Stock In-Out'!A:A,Inventory!A485)-SUMIFS('Stock In-Out'!J:J,'Stock In-Out'!A:A,Inventory!A485)</f>
        <v>0</v>
      </c>
      <c r="I485" s="8">
        <f>SUMIFS('Product Master'!H:H,'Product Master'!D:D,Inventory!A485)+SUMIFS('Stock In-Out'!K:K,'Stock In-Out'!A:A,Inventory!A485)-SUMIFS('Stock In-Out'!L:L,'Stock In-Out'!A:A,Inventory!A485)</f>
        <v>0</v>
      </c>
      <c r="J485" s="8">
        <f>SUMIFS('Product Master'!I:I,'Product Master'!D:D,Inventory!A485)+SUMIFS('Stock In-Out'!M:M,'Stock In-Out'!A:A,Inventory!A485)-SUMIFS('Stock In-Out'!N:N,'Stock In-Out'!A:A,Inventory!A485)</f>
        <v>0</v>
      </c>
      <c r="K485" s="8" t="str">
        <f>IFERROR(VLOOKUP(A485,'Product Master'!D:N,7,0),"")</f>
        <v/>
      </c>
    </row>
    <row r="486" spans="1:11" x14ac:dyDescent="0.2">
      <c r="A486" s="1"/>
      <c r="B486" s="8">
        <f>SUMIFS('Stock In-Out'!D:D,'Stock In-Out'!B:B,"Opening Stock",'Stock In-Out'!A:A,Inventory!A486)</f>
        <v>0</v>
      </c>
      <c r="C486" s="8">
        <f>SUMIFS('Stock In-Out'!D:D,'Stock In-Out'!B:B,"In",'Stock In-Out'!A:A,Inventory!A486)</f>
        <v>0</v>
      </c>
      <c r="D486" s="8">
        <f>SUMIFS('Stock In-Out'!D:D,'Stock In-Out'!B:B,"Out",'Stock In-Out'!A:A,Inventory!A486)</f>
        <v>0</v>
      </c>
      <c r="E486" s="8">
        <f t="shared" si="8"/>
        <v>0</v>
      </c>
      <c r="F486" s="8" t="str">
        <f>IFERROR(VLOOKUP(A486,'Product Master'!D:N,10,0)*E486,"")</f>
        <v/>
      </c>
      <c r="G486" s="9" t="str">
        <f>IFERROR(VLOOKUP(A486,'Product Master'!D:N,11,0)*E486,"")</f>
        <v/>
      </c>
      <c r="H486" s="8">
        <f>SUMIFS('Product Master'!G:G,'Product Master'!D:D,Inventory!A486)+SUMIFS('Stock In-Out'!I:I,'Stock In-Out'!A:A,Inventory!A486)-SUMIFS('Stock In-Out'!J:J,'Stock In-Out'!A:A,Inventory!A486)</f>
        <v>0</v>
      </c>
      <c r="I486" s="8">
        <f>SUMIFS('Product Master'!H:H,'Product Master'!D:D,Inventory!A486)+SUMIFS('Stock In-Out'!K:K,'Stock In-Out'!A:A,Inventory!A486)-SUMIFS('Stock In-Out'!L:L,'Stock In-Out'!A:A,Inventory!A486)</f>
        <v>0</v>
      </c>
      <c r="J486" s="8">
        <f>SUMIFS('Product Master'!I:I,'Product Master'!D:D,Inventory!A486)+SUMIFS('Stock In-Out'!M:M,'Stock In-Out'!A:A,Inventory!A486)-SUMIFS('Stock In-Out'!N:N,'Stock In-Out'!A:A,Inventory!A486)</f>
        <v>0</v>
      </c>
      <c r="K486" s="8" t="str">
        <f>IFERROR(VLOOKUP(A486,'Product Master'!D:N,7,0),"")</f>
        <v/>
      </c>
    </row>
    <row r="487" spans="1:11" x14ac:dyDescent="0.2">
      <c r="A487" s="1"/>
      <c r="B487" s="8">
        <f>SUMIFS('Stock In-Out'!D:D,'Stock In-Out'!B:B,"Opening Stock",'Stock In-Out'!A:A,Inventory!A487)</f>
        <v>0</v>
      </c>
      <c r="C487" s="8">
        <f>SUMIFS('Stock In-Out'!D:D,'Stock In-Out'!B:B,"In",'Stock In-Out'!A:A,Inventory!A487)</f>
        <v>0</v>
      </c>
      <c r="D487" s="8">
        <f>SUMIFS('Stock In-Out'!D:D,'Stock In-Out'!B:B,"Out",'Stock In-Out'!A:A,Inventory!A487)</f>
        <v>0</v>
      </c>
      <c r="E487" s="8">
        <f t="shared" si="8"/>
        <v>0</v>
      </c>
      <c r="F487" s="8" t="str">
        <f>IFERROR(VLOOKUP(A487,'Product Master'!D:N,10,0)*E487,"")</f>
        <v/>
      </c>
      <c r="G487" s="9" t="str">
        <f>IFERROR(VLOOKUP(A487,'Product Master'!D:N,11,0)*E487,"")</f>
        <v/>
      </c>
      <c r="H487" s="8">
        <f>SUMIFS('Product Master'!G:G,'Product Master'!D:D,Inventory!A487)+SUMIFS('Stock In-Out'!I:I,'Stock In-Out'!A:A,Inventory!A487)-SUMIFS('Stock In-Out'!J:J,'Stock In-Out'!A:A,Inventory!A487)</f>
        <v>0</v>
      </c>
      <c r="I487" s="8">
        <f>SUMIFS('Product Master'!H:H,'Product Master'!D:D,Inventory!A487)+SUMIFS('Stock In-Out'!K:K,'Stock In-Out'!A:A,Inventory!A487)-SUMIFS('Stock In-Out'!L:L,'Stock In-Out'!A:A,Inventory!A487)</f>
        <v>0</v>
      </c>
      <c r="J487" s="8">
        <f>SUMIFS('Product Master'!I:I,'Product Master'!D:D,Inventory!A487)+SUMIFS('Stock In-Out'!M:M,'Stock In-Out'!A:A,Inventory!A487)-SUMIFS('Stock In-Out'!N:N,'Stock In-Out'!A:A,Inventory!A487)</f>
        <v>0</v>
      </c>
      <c r="K487" s="8" t="str">
        <f>IFERROR(VLOOKUP(A487,'Product Master'!D:N,7,0),"")</f>
        <v/>
      </c>
    </row>
    <row r="488" spans="1:11" x14ac:dyDescent="0.2">
      <c r="A488" s="1"/>
      <c r="B488" s="8">
        <f>SUMIFS('Stock In-Out'!D:D,'Stock In-Out'!B:B,"Opening Stock",'Stock In-Out'!A:A,Inventory!A488)</f>
        <v>0</v>
      </c>
      <c r="C488" s="8">
        <f>SUMIFS('Stock In-Out'!D:D,'Stock In-Out'!B:B,"In",'Stock In-Out'!A:A,Inventory!A488)</f>
        <v>0</v>
      </c>
      <c r="D488" s="8">
        <f>SUMIFS('Stock In-Out'!D:D,'Stock In-Out'!B:B,"Out",'Stock In-Out'!A:A,Inventory!A488)</f>
        <v>0</v>
      </c>
      <c r="E488" s="8">
        <f t="shared" si="8"/>
        <v>0</v>
      </c>
      <c r="F488" s="8" t="str">
        <f>IFERROR(VLOOKUP(A488,'Product Master'!D:N,10,0)*E488,"")</f>
        <v/>
      </c>
      <c r="G488" s="9" t="str">
        <f>IFERROR(VLOOKUP(A488,'Product Master'!D:N,11,0)*E488,"")</f>
        <v/>
      </c>
      <c r="H488" s="8">
        <f>SUMIFS('Product Master'!G:G,'Product Master'!D:D,Inventory!A488)+SUMIFS('Stock In-Out'!I:I,'Stock In-Out'!A:A,Inventory!A488)-SUMIFS('Stock In-Out'!J:J,'Stock In-Out'!A:A,Inventory!A488)</f>
        <v>0</v>
      </c>
      <c r="I488" s="8">
        <f>SUMIFS('Product Master'!H:H,'Product Master'!D:D,Inventory!A488)+SUMIFS('Stock In-Out'!K:K,'Stock In-Out'!A:A,Inventory!A488)-SUMIFS('Stock In-Out'!L:L,'Stock In-Out'!A:A,Inventory!A488)</f>
        <v>0</v>
      </c>
      <c r="J488" s="8">
        <f>SUMIFS('Product Master'!I:I,'Product Master'!D:D,Inventory!A488)+SUMIFS('Stock In-Out'!M:M,'Stock In-Out'!A:A,Inventory!A488)-SUMIFS('Stock In-Out'!N:N,'Stock In-Out'!A:A,Inventory!A488)</f>
        <v>0</v>
      </c>
      <c r="K488" s="8" t="str">
        <f>IFERROR(VLOOKUP(A488,'Product Master'!D:N,7,0),"")</f>
        <v/>
      </c>
    </row>
    <row r="489" spans="1:11" x14ac:dyDescent="0.2">
      <c r="A489" s="1"/>
      <c r="B489" s="8">
        <f>SUMIFS('Stock In-Out'!D:D,'Stock In-Out'!B:B,"Opening Stock",'Stock In-Out'!A:A,Inventory!A489)</f>
        <v>0</v>
      </c>
      <c r="C489" s="8">
        <f>SUMIFS('Stock In-Out'!D:D,'Stock In-Out'!B:B,"In",'Stock In-Out'!A:A,Inventory!A489)</f>
        <v>0</v>
      </c>
      <c r="D489" s="8">
        <f>SUMIFS('Stock In-Out'!D:D,'Stock In-Out'!B:B,"Out",'Stock In-Out'!A:A,Inventory!A489)</f>
        <v>0</v>
      </c>
      <c r="E489" s="8">
        <f t="shared" si="8"/>
        <v>0</v>
      </c>
      <c r="F489" s="8" t="str">
        <f>IFERROR(VLOOKUP(A489,'Product Master'!D:N,10,0)*E489,"")</f>
        <v/>
      </c>
      <c r="G489" s="9" t="str">
        <f>IFERROR(VLOOKUP(A489,'Product Master'!D:N,11,0)*E489,"")</f>
        <v/>
      </c>
      <c r="H489" s="8">
        <f>SUMIFS('Product Master'!G:G,'Product Master'!D:D,Inventory!A489)+SUMIFS('Stock In-Out'!I:I,'Stock In-Out'!A:A,Inventory!A489)-SUMIFS('Stock In-Out'!J:J,'Stock In-Out'!A:A,Inventory!A489)</f>
        <v>0</v>
      </c>
      <c r="I489" s="8">
        <f>SUMIFS('Product Master'!H:H,'Product Master'!D:D,Inventory!A489)+SUMIFS('Stock In-Out'!K:K,'Stock In-Out'!A:A,Inventory!A489)-SUMIFS('Stock In-Out'!L:L,'Stock In-Out'!A:A,Inventory!A489)</f>
        <v>0</v>
      </c>
      <c r="J489" s="8">
        <f>SUMIFS('Product Master'!I:I,'Product Master'!D:D,Inventory!A489)+SUMIFS('Stock In-Out'!M:M,'Stock In-Out'!A:A,Inventory!A489)-SUMIFS('Stock In-Out'!N:N,'Stock In-Out'!A:A,Inventory!A489)</f>
        <v>0</v>
      </c>
      <c r="K489" s="8" t="str">
        <f>IFERROR(VLOOKUP(A489,'Product Master'!D:N,7,0),"")</f>
        <v/>
      </c>
    </row>
    <row r="490" spans="1:11" x14ac:dyDescent="0.2">
      <c r="A490" s="1"/>
      <c r="B490" s="8">
        <f>SUMIFS('Stock In-Out'!D:D,'Stock In-Out'!B:B,"Opening Stock",'Stock In-Out'!A:A,Inventory!A490)</f>
        <v>0</v>
      </c>
      <c r="C490" s="8">
        <f>SUMIFS('Stock In-Out'!D:D,'Stock In-Out'!B:B,"In",'Stock In-Out'!A:A,Inventory!A490)</f>
        <v>0</v>
      </c>
      <c r="D490" s="8">
        <f>SUMIFS('Stock In-Out'!D:D,'Stock In-Out'!B:B,"Out",'Stock In-Out'!A:A,Inventory!A490)</f>
        <v>0</v>
      </c>
      <c r="E490" s="8">
        <f t="shared" si="8"/>
        <v>0</v>
      </c>
      <c r="F490" s="8" t="str">
        <f>IFERROR(VLOOKUP(A490,'Product Master'!D:N,10,0)*E490,"")</f>
        <v/>
      </c>
      <c r="G490" s="9" t="str">
        <f>IFERROR(VLOOKUP(A490,'Product Master'!D:N,11,0)*E490,"")</f>
        <v/>
      </c>
      <c r="H490" s="8">
        <f>SUMIFS('Product Master'!G:G,'Product Master'!D:D,Inventory!A490)+SUMIFS('Stock In-Out'!I:I,'Stock In-Out'!A:A,Inventory!A490)-SUMIFS('Stock In-Out'!J:J,'Stock In-Out'!A:A,Inventory!A490)</f>
        <v>0</v>
      </c>
      <c r="I490" s="8">
        <f>SUMIFS('Product Master'!H:H,'Product Master'!D:D,Inventory!A490)+SUMIFS('Stock In-Out'!K:K,'Stock In-Out'!A:A,Inventory!A490)-SUMIFS('Stock In-Out'!L:L,'Stock In-Out'!A:A,Inventory!A490)</f>
        <v>0</v>
      </c>
      <c r="J490" s="8">
        <f>SUMIFS('Product Master'!I:I,'Product Master'!D:D,Inventory!A490)+SUMIFS('Stock In-Out'!M:M,'Stock In-Out'!A:A,Inventory!A490)-SUMIFS('Stock In-Out'!N:N,'Stock In-Out'!A:A,Inventory!A490)</f>
        <v>0</v>
      </c>
      <c r="K490" s="8" t="str">
        <f>IFERROR(VLOOKUP(A490,'Product Master'!D:N,7,0),"")</f>
        <v/>
      </c>
    </row>
    <row r="491" spans="1:11" x14ac:dyDescent="0.2">
      <c r="A491" s="1"/>
      <c r="B491" s="8">
        <f>SUMIFS('Stock In-Out'!D:D,'Stock In-Out'!B:B,"Opening Stock",'Stock In-Out'!A:A,Inventory!A491)</f>
        <v>0</v>
      </c>
      <c r="C491" s="8">
        <f>SUMIFS('Stock In-Out'!D:D,'Stock In-Out'!B:B,"In",'Stock In-Out'!A:A,Inventory!A491)</f>
        <v>0</v>
      </c>
      <c r="D491" s="8">
        <f>SUMIFS('Stock In-Out'!D:D,'Stock In-Out'!B:B,"Out",'Stock In-Out'!A:A,Inventory!A491)</f>
        <v>0</v>
      </c>
      <c r="E491" s="8">
        <f t="shared" si="8"/>
        <v>0</v>
      </c>
      <c r="F491" s="8" t="str">
        <f>IFERROR(VLOOKUP(A491,'Product Master'!D:N,10,0)*E491,"")</f>
        <v/>
      </c>
      <c r="G491" s="9" t="str">
        <f>IFERROR(VLOOKUP(A491,'Product Master'!D:N,11,0)*E491,"")</f>
        <v/>
      </c>
      <c r="H491" s="8">
        <f>SUMIFS('Product Master'!G:G,'Product Master'!D:D,Inventory!A491)+SUMIFS('Stock In-Out'!I:I,'Stock In-Out'!A:A,Inventory!A491)-SUMIFS('Stock In-Out'!J:J,'Stock In-Out'!A:A,Inventory!A491)</f>
        <v>0</v>
      </c>
      <c r="I491" s="8">
        <f>SUMIFS('Product Master'!H:H,'Product Master'!D:D,Inventory!A491)+SUMIFS('Stock In-Out'!K:K,'Stock In-Out'!A:A,Inventory!A491)-SUMIFS('Stock In-Out'!L:L,'Stock In-Out'!A:A,Inventory!A491)</f>
        <v>0</v>
      </c>
      <c r="J491" s="8">
        <f>SUMIFS('Product Master'!I:I,'Product Master'!D:D,Inventory!A491)+SUMIFS('Stock In-Out'!M:M,'Stock In-Out'!A:A,Inventory!A491)-SUMIFS('Stock In-Out'!N:N,'Stock In-Out'!A:A,Inventory!A491)</f>
        <v>0</v>
      </c>
      <c r="K491" s="8" t="str">
        <f>IFERROR(VLOOKUP(A491,'Product Master'!D:N,7,0),"")</f>
        <v/>
      </c>
    </row>
    <row r="492" spans="1:11" x14ac:dyDescent="0.2">
      <c r="A492" s="1"/>
      <c r="B492" s="8">
        <f>SUMIFS('Stock In-Out'!D:D,'Stock In-Out'!B:B,"Opening Stock",'Stock In-Out'!A:A,Inventory!A492)</f>
        <v>0</v>
      </c>
      <c r="C492" s="8">
        <f>SUMIFS('Stock In-Out'!D:D,'Stock In-Out'!B:B,"In",'Stock In-Out'!A:A,Inventory!A492)</f>
        <v>0</v>
      </c>
      <c r="D492" s="8">
        <f>SUMIFS('Stock In-Out'!D:D,'Stock In-Out'!B:B,"Out",'Stock In-Out'!A:A,Inventory!A492)</f>
        <v>0</v>
      </c>
      <c r="E492" s="8">
        <f t="shared" si="8"/>
        <v>0</v>
      </c>
      <c r="F492" s="8" t="str">
        <f>IFERROR(VLOOKUP(A492,'Product Master'!D:N,10,0)*E492,"")</f>
        <v/>
      </c>
      <c r="G492" s="9" t="str">
        <f>IFERROR(VLOOKUP(A492,'Product Master'!D:N,11,0)*E492,"")</f>
        <v/>
      </c>
      <c r="H492" s="8">
        <f>SUMIFS('Product Master'!G:G,'Product Master'!D:D,Inventory!A492)+SUMIFS('Stock In-Out'!I:I,'Stock In-Out'!A:A,Inventory!A492)-SUMIFS('Stock In-Out'!J:J,'Stock In-Out'!A:A,Inventory!A492)</f>
        <v>0</v>
      </c>
      <c r="I492" s="8">
        <f>SUMIFS('Product Master'!H:H,'Product Master'!D:D,Inventory!A492)+SUMIFS('Stock In-Out'!K:K,'Stock In-Out'!A:A,Inventory!A492)-SUMIFS('Stock In-Out'!L:L,'Stock In-Out'!A:A,Inventory!A492)</f>
        <v>0</v>
      </c>
      <c r="J492" s="8">
        <f>SUMIFS('Product Master'!I:I,'Product Master'!D:D,Inventory!A492)+SUMIFS('Stock In-Out'!M:M,'Stock In-Out'!A:A,Inventory!A492)-SUMIFS('Stock In-Out'!N:N,'Stock In-Out'!A:A,Inventory!A492)</f>
        <v>0</v>
      </c>
      <c r="K492" s="8" t="str">
        <f>IFERROR(VLOOKUP(A492,'Product Master'!D:N,7,0),"")</f>
        <v/>
      </c>
    </row>
    <row r="493" spans="1:11" x14ac:dyDescent="0.2">
      <c r="A493" s="1"/>
      <c r="B493" s="8">
        <f>SUMIFS('Stock In-Out'!D:D,'Stock In-Out'!B:B,"Opening Stock",'Stock In-Out'!A:A,Inventory!A493)</f>
        <v>0</v>
      </c>
      <c r="C493" s="8">
        <f>SUMIFS('Stock In-Out'!D:D,'Stock In-Out'!B:B,"In",'Stock In-Out'!A:A,Inventory!A493)</f>
        <v>0</v>
      </c>
      <c r="D493" s="8">
        <f>SUMIFS('Stock In-Out'!D:D,'Stock In-Out'!B:B,"Out",'Stock In-Out'!A:A,Inventory!A493)</f>
        <v>0</v>
      </c>
      <c r="E493" s="8">
        <f t="shared" si="8"/>
        <v>0</v>
      </c>
      <c r="F493" s="8" t="str">
        <f>IFERROR(VLOOKUP(A493,'Product Master'!D:N,10,0)*E493,"")</f>
        <v/>
      </c>
      <c r="G493" s="9" t="str">
        <f>IFERROR(VLOOKUP(A493,'Product Master'!D:N,11,0)*E493,"")</f>
        <v/>
      </c>
      <c r="H493" s="8">
        <f>SUMIFS('Product Master'!G:G,'Product Master'!D:D,Inventory!A493)+SUMIFS('Stock In-Out'!I:I,'Stock In-Out'!A:A,Inventory!A493)-SUMIFS('Stock In-Out'!J:J,'Stock In-Out'!A:A,Inventory!A493)</f>
        <v>0</v>
      </c>
      <c r="I493" s="8">
        <f>SUMIFS('Product Master'!H:H,'Product Master'!D:D,Inventory!A493)+SUMIFS('Stock In-Out'!K:K,'Stock In-Out'!A:A,Inventory!A493)-SUMIFS('Stock In-Out'!L:L,'Stock In-Out'!A:A,Inventory!A493)</f>
        <v>0</v>
      </c>
      <c r="J493" s="8">
        <f>SUMIFS('Product Master'!I:I,'Product Master'!D:D,Inventory!A493)+SUMIFS('Stock In-Out'!M:M,'Stock In-Out'!A:A,Inventory!A493)-SUMIFS('Stock In-Out'!N:N,'Stock In-Out'!A:A,Inventory!A493)</f>
        <v>0</v>
      </c>
      <c r="K493" s="8" t="str">
        <f>IFERROR(VLOOKUP(A493,'Product Master'!D:N,7,0),"")</f>
        <v/>
      </c>
    </row>
    <row r="494" spans="1:11" x14ac:dyDescent="0.2">
      <c r="A494" s="1"/>
      <c r="B494" s="8">
        <f>SUMIFS('Stock In-Out'!D:D,'Stock In-Out'!B:B,"Opening Stock",'Stock In-Out'!A:A,Inventory!A494)</f>
        <v>0</v>
      </c>
      <c r="C494" s="8">
        <f>SUMIFS('Stock In-Out'!D:D,'Stock In-Out'!B:B,"In",'Stock In-Out'!A:A,Inventory!A494)</f>
        <v>0</v>
      </c>
      <c r="D494" s="8">
        <f>SUMIFS('Stock In-Out'!D:D,'Stock In-Out'!B:B,"Out",'Stock In-Out'!A:A,Inventory!A494)</f>
        <v>0</v>
      </c>
      <c r="E494" s="8">
        <f t="shared" si="8"/>
        <v>0</v>
      </c>
      <c r="F494" s="8" t="str">
        <f>IFERROR(VLOOKUP(A494,'Product Master'!D:N,10,0)*E494,"")</f>
        <v/>
      </c>
      <c r="G494" s="9" t="str">
        <f>IFERROR(VLOOKUP(A494,'Product Master'!D:N,11,0)*E494,"")</f>
        <v/>
      </c>
      <c r="H494" s="8">
        <f>SUMIFS('Product Master'!G:G,'Product Master'!D:D,Inventory!A494)+SUMIFS('Stock In-Out'!I:I,'Stock In-Out'!A:A,Inventory!A494)-SUMIFS('Stock In-Out'!J:J,'Stock In-Out'!A:A,Inventory!A494)</f>
        <v>0</v>
      </c>
      <c r="I494" s="8">
        <f>SUMIFS('Product Master'!H:H,'Product Master'!D:D,Inventory!A494)+SUMIFS('Stock In-Out'!K:K,'Stock In-Out'!A:A,Inventory!A494)-SUMIFS('Stock In-Out'!L:L,'Stock In-Out'!A:A,Inventory!A494)</f>
        <v>0</v>
      </c>
      <c r="J494" s="8">
        <f>SUMIFS('Product Master'!I:I,'Product Master'!D:D,Inventory!A494)+SUMIFS('Stock In-Out'!M:M,'Stock In-Out'!A:A,Inventory!A494)-SUMIFS('Stock In-Out'!N:N,'Stock In-Out'!A:A,Inventory!A494)</f>
        <v>0</v>
      </c>
      <c r="K494" s="8" t="str">
        <f>IFERROR(VLOOKUP(A494,'Product Master'!D:N,7,0),"")</f>
        <v/>
      </c>
    </row>
    <row r="495" spans="1:11" x14ac:dyDescent="0.2">
      <c r="A495" s="1"/>
      <c r="B495" s="8">
        <f>SUMIFS('Stock In-Out'!D:D,'Stock In-Out'!B:B,"Opening Stock",'Stock In-Out'!A:A,Inventory!A495)</f>
        <v>0</v>
      </c>
      <c r="C495" s="8">
        <f>SUMIFS('Stock In-Out'!D:D,'Stock In-Out'!B:B,"In",'Stock In-Out'!A:A,Inventory!A495)</f>
        <v>0</v>
      </c>
      <c r="D495" s="8">
        <f>SUMIFS('Stock In-Out'!D:D,'Stock In-Out'!B:B,"Out",'Stock In-Out'!A:A,Inventory!A495)</f>
        <v>0</v>
      </c>
      <c r="E495" s="8">
        <f t="shared" ref="E495:E500" si="9">B495+C495-D495</f>
        <v>0</v>
      </c>
      <c r="F495" s="8" t="str">
        <f>IFERROR(VLOOKUP(A495,'Product Master'!D:N,10,0)*E495,"")</f>
        <v/>
      </c>
      <c r="G495" s="9" t="str">
        <f>IFERROR(VLOOKUP(A495,'Product Master'!D:N,11,0)*E495,"")</f>
        <v/>
      </c>
      <c r="H495" s="8">
        <f>SUMIFS('Product Master'!G:G,'Product Master'!D:D,Inventory!A495)+SUMIFS('Stock In-Out'!I:I,'Stock In-Out'!A:A,Inventory!A495)-SUMIFS('Stock In-Out'!J:J,'Stock In-Out'!A:A,Inventory!A495)</f>
        <v>0</v>
      </c>
      <c r="I495" s="8">
        <f>SUMIFS('Product Master'!H:H,'Product Master'!D:D,Inventory!A495)+SUMIFS('Stock In-Out'!K:K,'Stock In-Out'!A:A,Inventory!A495)-SUMIFS('Stock In-Out'!L:L,'Stock In-Out'!A:A,Inventory!A495)</f>
        <v>0</v>
      </c>
      <c r="J495" s="8">
        <f>SUMIFS('Product Master'!I:I,'Product Master'!D:D,Inventory!A495)+SUMIFS('Stock In-Out'!M:M,'Stock In-Out'!A:A,Inventory!A495)-SUMIFS('Stock In-Out'!N:N,'Stock In-Out'!A:A,Inventory!A495)</f>
        <v>0</v>
      </c>
      <c r="K495" s="8" t="str">
        <f>IFERROR(VLOOKUP(A495,'Product Master'!D:N,7,0),"")</f>
        <v/>
      </c>
    </row>
    <row r="496" spans="1:11" x14ac:dyDescent="0.2">
      <c r="A496" s="1"/>
      <c r="B496" s="8">
        <f>SUMIFS('Stock In-Out'!D:D,'Stock In-Out'!B:B,"Opening Stock",'Stock In-Out'!A:A,Inventory!A496)</f>
        <v>0</v>
      </c>
      <c r="C496" s="8">
        <f>SUMIFS('Stock In-Out'!D:D,'Stock In-Out'!B:B,"In",'Stock In-Out'!A:A,Inventory!A496)</f>
        <v>0</v>
      </c>
      <c r="D496" s="8">
        <f>SUMIFS('Stock In-Out'!D:D,'Stock In-Out'!B:B,"Out",'Stock In-Out'!A:A,Inventory!A496)</f>
        <v>0</v>
      </c>
      <c r="E496" s="8">
        <f t="shared" si="9"/>
        <v>0</v>
      </c>
      <c r="F496" s="8" t="str">
        <f>IFERROR(VLOOKUP(A496,'Product Master'!D:N,10,0)*E496,"")</f>
        <v/>
      </c>
      <c r="G496" s="9" t="str">
        <f>IFERROR(VLOOKUP(A496,'Product Master'!D:N,11,0)*E496,"")</f>
        <v/>
      </c>
      <c r="H496" s="8">
        <f>SUMIFS('Product Master'!G:G,'Product Master'!D:D,Inventory!A496)+SUMIFS('Stock In-Out'!I:I,'Stock In-Out'!A:A,Inventory!A496)-SUMIFS('Stock In-Out'!J:J,'Stock In-Out'!A:A,Inventory!A496)</f>
        <v>0</v>
      </c>
      <c r="I496" s="8">
        <f>SUMIFS('Product Master'!H:H,'Product Master'!D:D,Inventory!A496)+SUMIFS('Stock In-Out'!K:K,'Stock In-Out'!A:A,Inventory!A496)-SUMIFS('Stock In-Out'!L:L,'Stock In-Out'!A:A,Inventory!A496)</f>
        <v>0</v>
      </c>
      <c r="J496" s="8">
        <f>SUMIFS('Product Master'!I:I,'Product Master'!D:D,Inventory!A496)+SUMIFS('Stock In-Out'!M:M,'Stock In-Out'!A:A,Inventory!A496)-SUMIFS('Stock In-Out'!N:N,'Stock In-Out'!A:A,Inventory!A496)</f>
        <v>0</v>
      </c>
      <c r="K496" s="8" t="str">
        <f>IFERROR(VLOOKUP(A496,'Product Master'!D:N,7,0),"")</f>
        <v/>
      </c>
    </row>
    <row r="497" spans="1:11" x14ac:dyDescent="0.2">
      <c r="A497" s="1"/>
      <c r="B497" s="8">
        <f>SUMIFS('Stock In-Out'!D:D,'Stock In-Out'!B:B,"Opening Stock",'Stock In-Out'!A:A,Inventory!A497)</f>
        <v>0</v>
      </c>
      <c r="C497" s="8">
        <f>SUMIFS('Stock In-Out'!D:D,'Stock In-Out'!B:B,"In",'Stock In-Out'!A:A,Inventory!A497)</f>
        <v>0</v>
      </c>
      <c r="D497" s="8">
        <f>SUMIFS('Stock In-Out'!D:D,'Stock In-Out'!B:B,"Out",'Stock In-Out'!A:A,Inventory!A497)</f>
        <v>0</v>
      </c>
      <c r="E497" s="8">
        <f t="shared" si="9"/>
        <v>0</v>
      </c>
      <c r="F497" s="8" t="str">
        <f>IFERROR(VLOOKUP(A497,'Product Master'!D:N,10,0)*E497,"")</f>
        <v/>
      </c>
      <c r="G497" s="9" t="str">
        <f>IFERROR(VLOOKUP(A497,'Product Master'!D:N,11,0)*E497,"")</f>
        <v/>
      </c>
      <c r="H497" s="8">
        <f>SUMIFS('Product Master'!G:G,'Product Master'!D:D,Inventory!A497)+SUMIFS('Stock In-Out'!I:I,'Stock In-Out'!A:A,Inventory!A497)-SUMIFS('Stock In-Out'!J:J,'Stock In-Out'!A:A,Inventory!A497)</f>
        <v>0</v>
      </c>
      <c r="I497" s="8">
        <f>SUMIFS('Product Master'!H:H,'Product Master'!D:D,Inventory!A497)+SUMIFS('Stock In-Out'!K:K,'Stock In-Out'!A:A,Inventory!A497)-SUMIFS('Stock In-Out'!L:L,'Stock In-Out'!A:A,Inventory!A497)</f>
        <v>0</v>
      </c>
      <c r="J497" s="8">
        <f>SUMIFS('Product Master'!I:I,'Product Master'!D:D,Inventory!A497)+SUMIFS('Stock In-Out'!M:M,'Stock In-Out'!A:A,Inventory!A497)-SUMIFS('Stock In-Out'!N:N,'Stock In-Out'!A:A,Inventory!A497)</f>
        <v>0</v>
      </c>
      <c r="K497" s="8" t="str">
        <f>IFERROR(VLOOKUP(A497,'Product Master'!D:N,7,0),"")</f>
        <v/>
      </c>
    </row>
    <row r="498" spans="1:11" x14ac:dyDescent="0.2">
      <c r="A498" s="1"/>
      <c r="B498" s="8">
        <f>SUMIFS('Stock In-Out'!D:D,'Stock In-Out'!B:B,"Opening Stock",'Stock In-Out'!A:A,Inventory!A498)</f>
        <v>0</v>
      </c>
      <c r="C498" s="8">
        <f>SUMIFS('Stock In-Out'!D:D,'Stock In-Out'!B:B,"In",'Stock In-Out'!A:A,Inventory!A498)</f>
        <v>0</v>
      </c>
      <c r="D498" s="8">
        <f>SUMIFS('Stock In-Out'!D:D,'Stock In-Out'!B:B,"Out",'Stock In-Out'!A:A,Inventory!A498)</f>
        <v>0</v>
      </c>
      <c r="E498" s="8">
        <f t="shared" si="9"/>
        <v>0</v>
      </c>
      <c r="F498" s="8" t="str">
        <f>IFERROR(VLOOKUP(A498,'Product Master'!D:N,10,0)*E498,"")</f>
        <v/>
      </c>
      <c r="G498" s="9" t="str">
        <f>IFERROR(VLOOKUP(A498,'Product Master'!D:N,11,0)*E498,"")</f>
        <v/>
      </c>
      <c r="H498" s="8">
        <f>SUMIFS('Product Master'!G:G,'Product Master'!D:D,Inventory!A498)+SUMIFS('Stock In-Out'!I:I,'Stock In-Out'!A:A,Inventory!A498)-SUMIFS('Stock In-Out'!J:J,'Stock In-Out'!A:A,Inventory!A498)</f>
        <v>0</v>
      </c>
      <c r="I498" s="8">
        <f>SUMIFS('Product Master'!H:H,'Product Master'!D:D,Inventory!A498)+SUMIFS('Stock In-Out'!K:K,'Stock In-Out'!A:A,Inventory!A498)-SUMIFS('Stock In-Out'!L:L,'Stock In-Out'!A:A,Inventory!A498)</f>
        <v>0</v>
      </c>
      <c r="J498" s="8">
        <f>SUMIFS('Product Master'!I:I,'Product Master'!D:D,Inventory!A498)+SUMIFS('Stock In-Out'!M:M,'Stock In-Out'!A:A,Inventory!A498)-SUMIFS('Stock In-Out'!N:N,'Stock In-Out'!A:A,Inventory!A498)</f>
        <v>0</v>
      </c>
      <c r="K498" s="8" t="str">
        <f>IFERROR(VLOOKUP(A498,'Product Master'!D:N,7,0),"")</f>
        <v/>
      </c>
    </row>
    <row r="499" spans="1:11" x14ac:dyDescent="0.2">
      <c r="A499" s="1"/>
      <c r="B499" s="8">
        <f>SUMIFS('Stock In-Out'!D:D,'Stock In-Out'!B:B,"Opening Stock",'Stock In-Out'!A:A,Inventory!A499)</f>
        <v>0</v>
      </c>
      <c r="C499" s="8">
        <f>SUMIFS('Stock In-Out'!D:D,'Stock In-Out'!B:B,"In",'Stock In-Out'!A:A,Inventory!A499)</f>
        <v>0</v>
      </c>
      <c r="D499" s="8">
        <f>SUMIFS('Stock In-Out'!D:D,'Stock In-Out'!B:B,"Out",'Stock In-Out'!A:A,Inventory!A499)</f>
        <v>0</v>
      </c>
      <c r="E499" s="8">
        <f t="shared" si="9"/>
        <v>0</v>
      </c>
      <c r="F499" s="8" t="str">
        <f>IFERROR(VLOOKUP(A499,'Product Master'!D:N,10,0)*E499,"")</f>
        <v/>
      </c>
      <c r="G499" s="9" t="str">
        <f>IFERROR(VLOOKUP(A499,'Product Master'!D:N,11,0)*E499,"")</f>
        <v/>
      </c>
      <c r="H499" s="8">
        <f>SUMIFS('Product Master'!G:G,'Product Master'!D:D,Inventory!A499)+SUMIFS('Stock In-Out'!I:I,'Stock In-Out'!A:A,Inventory!A499)-SUMIFS('Stock In-Out'!J:J,'Stock In-Out'!A:A,Inventory!A499)</f>
        <v>0</v>
      </c>
      <c r="I499" s="8">
        <f>SUMIFS('Product Master'!H:H,'Product Master'!D:D,Inventory!A499)+SUMIFS('Stock In-Out'!K:K,'Stock In-Out'!A:A,Inventory!A499)-SUMIFS('Stock In-Out'!L:L,'Stock In-Out'!A:A,Inventory!A499)</f>
        <v>0</v>
      </c>
      <c r="J499" s="8">
        <f>SUMIFS('Product Master'!I:I,'Product Master'!D:D,Inventory!A499)+SUMIFS('Stock In-Out'!M:M,'Stock In-Out'!A:A,Inventory!A499)-SUMIFS('Stock In-Out'!N:N,'Stock In-Out'!A:A,Inventory!A499)</f>
        <v>0</v>
      </c>
      <c r="K499" s="8" t="str">
        <f>IFERROR(VLOOKUP(A499,'Product Master'!D:N,7,0),"")</f>
        <v/>
      </c>
    </row>
    <row r="500" spans="1:11" x14ac:dyDescent="0.2">
      <c r="A500" s="1"/>
      <c r="B500" s="8">
        <f>SUMIFS('Stock In-Out'!D:D,'Stock In-Out'!B:B,"Opening Stock",'Stock In-Out'!A:A,Inventory!A500)</f>
        <v>0</v>
      </c>
      <c r="C500" s="8">
        <f>SUMIFS('Stock In-Out'!D:D,'Stock In-Out'!B:B,"In",'Stock In-Out'!A:A,Inventory!A500)</f>
        <v>0</v>
      </c>
      <c r="D500" s="8">
        <f>SUMIFS('Stock In-Out'!D:D,'Stock In-Out'!B:B,"Out",'Stock In-Out'!A:A,Inventory!A500)</f>
        <v>0</v>
      </c>
      <c r="E500" s="8">
        <f t="shared" si="9"/>
        <v>0</v>
      </c>
      <c r="F500" s="8" t="str">
        <f>IFERROR(VLOOKUP(A500,'Product Master'!D:N,10,0)*E500,"")</f>
        <v/>
      </c>
      <c r="G500" s="9" t="str">
        <f>IFERROR(VLOOKUP(A500,'Product Master'!D:N,11,0)*E500,"")</f>
        <v/>
      </c>
      <c r="H500" s="8">
        <f>SUMIFS('Product Master'!G:G,'Product Master'!D:D,Inventory!A500)+SUMIFS('Stock In-Out'!I:I,'Stock In-Out'!A:A,Inventory!A500)-SUMIFS('Stock In-Out'!J:J,'Stock In-Out'!A:A,Inventory!A500)</f>
        <v>0</v>
      </c>
      <c r="I500" s="8">
        <f>SUMIFS('Product Master'!H:H,'Product Master'!D:D,Inventory!A500)+SUMIFS('Stock In-Out'!K:K,'Stock In-Out'!A:A,Inventory!A500)-SUMIFS('Stock In-Out'!L:L,'Stock In-Out'!A:A,Inventory!A500)</f>
        <v>0</v>
      </c>
      <c r="J500" s="8">
        <f>SUMIFS('Product Master'!I:I,'Product Master'!D:D,Inventory!A500)+SUMIFS('Stock In-Out'!M:M,'Stock In-Out'!A:A,Inventory!A500)-SUMIFS('Stock In-Out'!N:N,'Stock In-Out'!A:A,Inventory!A500)</f>
        <v>0</v>
      </c>
      <c r="K500" s="8" t="str">
        <f>IFERROR(VLOOKUP(A500,'Product Master'!D:N,7,0),"")</f>
        <v/>
      </c>
    </row>
  </sheetData>
  <conditionalFormatting sqref="A2:A500">
    <cfRule type="duplicateValues" dxfId="1" priority="2"/>
  </conditionalFormatting>
  <conditionalFormatting sqref="B2:L500">
    <cfRule type="expression" dxfId="0" priority="1">
      <formula>$A2=""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8625-1FCA-434A-962D-C93362A52F6B}">
  <sheetPr codeName="Sheet2"/>
  <dimension ref="A1:N100"/>
  <sheetViews>
    <sheetView showGridLines="0" workbookViewId="0">
      <pane ySplit="1" topLeftCell="A26" activePane="bottomLeft" state="frozen"/>
      <selection activeCell="F5" sqref="F5"/>
      <selection pane="bottomLeft" activeCell="E37" sqref="E37"/>
    </sheetView>
  </sheetViews>
  <sheetFormatPr defaultRowHeight="15" x14ac:dyDescent="0.25"/>
  <cols>
    <col min="1" max="1" width="30.5703125" customWidth="1"/>
    <col min="2" max="4" width="15.5703125" customWidth="1"/>
    <col min="5" max="5" width="22" bestFit="1" customWidth="1"/>
    <col min="6" max="6" width="15.5703125" customWidth="1"/>
    <col min="7" max="7" width="21.42578125" bestFit="1" customWidth="1"/>
    <col min="8" max="8" width="15.5703125" customWidth="1"/>
  </cols>
  <sheetData>
    <row r="1" spans="1:14" ht="26.1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5" t="s">
        <v>59</v>
      </c>
      <c r="F1" s="5" t="s">
        <v>8</v>
      </c>
      <c r="G1" s="5" t="s">
        <v>60</v>
      </c>
      <c r="H1" s="5" t="s">
        <v>9</v>
      </c>
      <c r="I1" s="6" t="s">
        <v>116</v>
      </c>
      <c r="J1" s="6" t="s">
        <v>117</v>
      </c>
      <c r="K1" s="6" t="s">
        <v>118</v>
      </c>
      <c r="L1" s="6" t="s">
        <v>119</v>
      </c>
      <c r="M1" s="6" t="s">
        <v>120</v>
      </c>
      <c r="N1" s="6" t="s">
        <v>121</v>
      </c>
    </row>
    <row r="2" spans="1:14" ht="15" customHeight="1" x14ac:dyDescent="0.25">
      <c r="A2" s="1" t="s">
        <v>19</v>
      </c>
      <c r="B2" s="1" t="s">
        <v>5</v>
      </c>
      <c r="C2" s="3">
        <v>44783</v>
      </c>
      <c r="D2" s="1">
        <v>1</v>
      </c>
      <c r="E2" s="4">
        <f>IF($A2="","",VLOOKUP(A2,'Product Master'!D:N,10,0))</f>
        <v>130000</v>
      </c>
      <c r="F2" s="4">
        <f>IF(A2="","",D2*E2)</f>
        <v>130000</v>
      </c>
      <c r="G2" s="4">
        <f>IF($A2="","",VLOOKUP(A2,'Product Master'!D:N,11,0))</f>
        <v>50000</v>
      </c>
      <c r="H2" s="4">
        <f>IF(A2="","",D2*G2)</f>
        <v>50000</v>
      </c>
    </row>
    <row r="3" spans="1:14" ht="15" customHeight="1" x14ac:dyDescent="0.25">
      <c r="A3" s="1" t="s">
        <v>23</v>
      </c>
      <c r="B3" s="1" t="s">
        <v>5</v>
      </c>
      <c r="C3" s="3">
        <v>44783</v>
      </c>
      <c r="D3" s="1">
        <v>1</v>
      </c>
      <c r="E3" s="4">
        <f>IF($A3="","",VLOOKUP(A3,'Product Master'!D:N,10,0))</f>
        <v>47000</v>
      </c>
      <c r="F3" s="4">
        <f t="shared" ref="F3:F37" si="0">IF(A3="","",D3*E3)</f>
        <v>47000</v>
      </c>
      <c r="G3" s="4">
        <f>IF($A3="","",VLOOKUP(A3,'Product Master'!D:N,11,0))</f>
        <v>7000</v>
      </c>
      <c r="H3" s="4">
        <f t="shared" ref="H3:H37" si="1">IF(A3="","",D3*G3)</f>
        <v>7000</v>
      </c>
    </row>
    <row r="4" spans="1:14" ht="15" customHeight="1" x14ac:dyDescent="0.25">
      <c r="A4" s="1" t="s">
        <v>24</v>
      </c>
      <c r="B4" s="1" t="s">
        <v>5</v>
      </c>
      <c r="C4" s="3">
        <v>44783</v>
      </c>
      <c r="D4" s="1">
        <v>1</v>
      </c>
      <c r="E4" s="4">
        <f>IF($A4="","",VLOOKUP(A4,'Product Master'!D:N,10,0))</f>
        <v>30000</v>
      </c>
      <c r="F4" s="4">
        <f t="shared" si="0"/>
        <v>30000</v>
      </c>
      <c r="G4" s="4">
        <f>IF($A4="","",VLOOKUP(A4,'Product Master'!D:N,11,0))</f>
        <v>15000</v>
      </c>
      <c r="H4" s="4">
        <f t="shared" si="1"/>
        <v>15000</v>
      </c>
    </row>
    <row r="5" spans="1:14" ht="15" customHeight="1" x14ac:dyDescent="0.25">
      <c r="A5" s="1" t="s">
        <v>27</v>
      </c>
      <c r="B5" s="1" t="s">
        <v>5</v>
      </c>
      <c r="C5" s="3">
        <v>44783</v>
      </c>
      <c r="D5" s="1">
        <v>1</v>
      </c>
      <c r="E5" s="4">
        <f>IF($A5="","",VLOOKUP(A5,'Product Master'!D:N,10,0))</f>
        <v>40000</v>
      </c>
      <c r="F5" s="4">
        <f t="shared" si="0"/>
        <v>40000</v>
      </c>
      <c r="G5" s="4">
        <f>IF($A5="","",VLOOKUP(A5,'Product Master'!D:N,11,0))</f>
        <v>10000</v>
      </c>
      <c r="H5" s="4">
        <f t="shared" si="1"/>
        <v>10000</v>
      </c>
    </row>
    <row r="6" spans="1:14" ht="15" customHeight="1" x14ac:dyDescent="0.25">
      <c r="A6" s="1" t="s">
        <v>29</v>
      </c>
      <c r="B6" s="1" t="s">
        <v>5</v>
      </c>
      <c r="C6" s="3">
        <v>44783</v>
      </c>
      <c r="D6" s="1">
        <v>1</v>
      </c>
      <c r="E6" s="4">
        <f>IF($A6="","",VLOOKUP(A6,'Product Master'!D:N,10,0))</f>
        <v>30000</v>
      </c>
      <c r="F6" s="4">
        <f t="shared" si="0"/>
        <v>30000</v>
      </c>
      <c r="G6" s="4">
        <f>IF($A6="","",VLOOKUP(A6,'Product Master'!D:N,11,0))</f>
        <v>10000</v>
      </c>
      <c r="H6" s="4">
        <f t="shared" si="1"/>
        <v>10000</v>
      </c>
    </row>
    <row r="7" spans="1:14" ht="15" customHeight="1" x14ac:dyDescent="0.25">
      <c r="A7" s="1" t="s">
        <v>31</v>
      </c>
      <c r="B7" s="1" t="s">
        <v>5</v>
      </c>
      <c r="C7" s="3">
        <v>44783</v>
      </c>
      <c r="D7" s="1">
        <v>2</v>
      </c>
      <c r="E7" s="4">
        <f>IF($A7="","",VLOOKUP(A7,'Product Master'!D:N,10,0))</f>
        <v>40000</v>
      </c>
      <c r="F7" s="4">
        <f t="shared" si="0"/>
        <v>80000</v>
      </c>
      <c r="G7" s="4">
        <f>IF($A7="","",VLOOKUP(A7,'Product Master'!D:N,11,0))</f>
        <v>10000</v>
      </c>
      <c r="H7" s="4">
        <f t="shared" si="1"/>
        <v>20000</v>
      </c>
    </row>
    <row r="8" spans="1:14" ht="15" customHeight="1" x14ac:dyDescent="0.25">
      <c r="A8" s="1" t="s">
        <v>32</v>
      </c>
      <c r="B8" s="1" t="s">
        <v>5</v>
      </c>
      <c r="C8" s="3">
        <v>44783</v>
      </c>
      <c r="D8" s="1">
        <v>1</v>
      </c>
      <c r="E8" s="4">
        <f>IF($A8="","",VLOOKUP(A8,'Product Master'!D:N,10,0))</f>
        <v>30000</v>
      </c>
      <c r="F8" s="4">
        <f t="shared" si="0"/>
        <v>30000</v>
      </c>
      <c r="G8" s="4">
        <f>IF($A8="","",VLOOKUP(A8,'Product Master'!D:N,11,0))</f>
        <v>10000</v>
      </c>
      <c r="H8" s="4">
        <f t="shared" si="1"/>
        <v>10000</v>
      </c>
    </row>
    <row r="9" spans="1:14" ht="15" customHeight="1" x14ac:dyDescent="0.25">
      <c r="A9" s="1" t="s">
        <v>33</v>
      </c>
      <c r="B9" s="1" t="s">
        <v>5</v>
      </c>
      <c r="C9" s="3">
        <v>44783</v>
      </c>
      <c r="D9" s="1">
        <v>3</v>
      </c>
      <c r="E9" s="4">
        <f>IF($A9="","",VLOOKUP(A9,'Product Master'!D:N,10,0))</f>
        <v>40000</v>
      </c>
      <c r="F9" s="4">
        <f t="shared" si="0"/>
        <v>120000</v>
      </c>
      <c r="G9" s="4">
        <f>IF($A9="","",VLOOKUP(A9,'Product Master'!D:N,11,0))</f>
        <v>10000</v>
      </c>
      <c r="H9" s="4">
        <f t="shared" si="1"/>
        <v>30000</v>
      </c>
    </row>
    <row r="10" spans="1:14" ht="15" customHeight="1" x14ac:dyDescent="0.25">
      <c r="A10" s="1" t="s">
        <v>35</v>
      </c>
      <c r="B10" s="1" t="s">
        <v>5</v>
      </c>
      <c r="C10" s="3">
        <v>44783</v>
      </c>
      <c r="D10" s="1">
        <v>1</v>
      </c>
      <c r="E10" s="4">
        <f>IF($A10="","",VLOOKUP(A10,'Product Master'!D:N,10,0))</f>
        <v>30000</v>
      </c>
      <c r="F10" s="4">
        <f t="shared" si="0"/>
        <v>30000</v>
      </c>
      <c r="G10" s="4">
        <f>IF($A10="","",VLOOKUP(A10,'Product Master'!D:N,11,0))</f>
        <v>10000</v>
      </c>
      <c r="H10" s="4">
        <f t="shared" si="1"/>
        <v>10000</v>
      </c>
    </row>
    <row r="11" spans="1:14" ht="15" customHeight="1" x14ac:dyDescent="0.25">
      <c r="A11" s="1" t="s">
        <v>37</v>
      </c>
      <c r="B11" s="1" t="s">
        <v>5</v>
      </c>
      <c r="C11" s="3">
        <v>44783</v>
      </c>
      <c r="D11" s="1">
        <v>3</v>
      </c>
      <c r="E11" s="4">
        <f>IF($A11="","",VLOOKUP(A11,'Product Master'!D:N,10,0))</f>
        <v>5000</v>
      </c>
      <c r="F11" s="4">
        <f t="shared" si="0"/>
        <v>15000</v>
      </c>
      <c r="G11" s="4">
        <f>IF($A11="","",VLOOKUP(A11,'Product Master'!D:N,11,0))</f>
        <v>100</v>
      </c>
      <c r="H11" s="4">
        <f t="shared" si="1"/>
        <v>300</v>
      </c>
    </row>
    <row r="12" spans="1:14" ht="15" customHeight="1" x14ac:dyDescent="0.25">
      <c r="A12" s="1" t="s">
        <v>38</v>
      </c>
      <c r="B12" s="1" t="s">
        <v>5</v>
      </c>
      <c r="C12" s="3">
        <v>44783</v>
      </c>
      <c r="D12" s="1">
        <v>1</v>
      </c>
      <c r="E12" s="4">
        <f>IF($A12="","",VLOOKUP(A12,'Product Master'!D:N,10,0))</f>
        <v>21000</v>
      </c>
      <c r="F12" s="4">
        <f t="shared" si="0"/>
        <v>21000</v>
      </c>
      <c r="G12" s="4">
        <f>IF($A12="","",VLOOKUP(A12,'Product Master'!D:N,11,0))</f>
        <v>5000</v>
      </c>
      <c r="H12" s="4">
        <f t="shared" si="1"/>
        <v>5000</v>
      </c>
    </row>
    <row r="13" spans="1:14" ht="15" customHeight="1" x14ac:dyDescent="0.25">
      <c r="A13" s="1" t="s">
        <v>40</v>
      </c>
      <c r="B13" s="1" t="s">
        <v>5</v>
      </c>
      <c r="C13" s="3">
        <v>44783</v>
      </c>
      <c r="D13" s="1">
        <v>6</v>
      </c>
      <c r="E13" s="4">
        <f>IF($A13="","",VLOOKUP(A13,'Product Master'!D:N,10,0))</f>
        <v>25000</v>
      </c>
      <c r="F13" s="4">
        <f t="shared" si="0"/>
        <v>150000</v>
      </c>
      <c r="G13" s="4">
        <f>IF($A13="","",VLOOKUP(A13,'Product Master'!D:N,11,0))</f>
        <v>2500</v>
      </c>
      <c r="H13" s="4">
        <f t="shared" si="1"/>
        <v>15000</v>
      </c>
    </row>
    <row r="14" spans="1:14" ht="15" customHeight="1" x14ac:dyDescent="0.25">
      <c r="A14" s="1" t="s">
        <v>43</v>
      </c>
      <c r="B14" s="1" t="s">
        <v>5</v>
      </c>
      <c r="C14" s="3">
        <v>44783</v>
      </c>
      <c r="D14" s="1">
        <v>6</v>
      </c>
      <c r="E14" s="4">
        <f>IF($A14="","",VLOOKUP(A14,'Product Master'!D:N,10,0))</f>
        <v>4000</v>
      </c>
      <c r="F14" s="4">
        <f t="shared" si="0"/>
        <v>24000</v>
      </c>
      <c r="G14" s="4">
        <f>IF($A14="","",VLOOKUP(A14,'Product Master'!D:N,11,0))</f>
        <v>100</v>
      </c>
      <c r="H14" s="4">
        <f t="shared" si="1"/>
        <v>600</v>
      </c>
    </row>
    <row r="15" spans="1:14" ht="15" customHeight="1" x14ac:dyDescent="0.25">
      <c r="A15" s="1" t="s">
        <v>45</v>
      </c>
      <c r="B15" s="1" t="s">
        <v>5</v>
      </c>
      <c r="C15" s="3">
        <v>44783</v>
      </c>
      <c r="D15" s="1">
        <v>2</v>
      </c>
      <c r="E15" s="4">
        <f>IF($A15="","",VLOOKUP(A15,'Product Master'!D:N,10,0))</f>
        <v>30000</v>
      </c>
      <c r="F15" s="4">
        <f t="shared" si="0"/>
        <v>60000</v>
      </c>
      <c r="G15" s="4">
        <f>IF($A15="","",VLOOKUP(A15,'Product Master'!D:N,11,0))</f>
        <v>500</v>
      </c>
      <c r="H15" s="4">
        <f t="shared" si="1"/>
        <v>1000</v>
      </c>
    </row>
    <row r="16" spans="1:14" ht="15" customHeight="1" x14ac:dyDescent="0.25">
      <c r="A16" s="1" t="s">
        <v>47</v>
      </c>
      <c r="B16" s="1" t="s">
        <v>5</v>
      </c>
      <c r="C16" s="3">
        <v>44783</v>
      </c>
      <c r="D16" s="1">
        <v>7</v>
      </c>
      <c r="E16" s="4">
        <f>IF($A16="","",VLOOKUP(A16,'Product Master'!D:N,10,0))</f>
        <v>2500</v>
      </c>
      <c r="F16" s="4">
        <f t="shared" si="0"/>
        <v>17500</v>
      </c>
      <c r="G16" s="4">
        <f>IF($A16="","",VLOOKUP(A16,'Product Master'!D:N,11,0))</f>
        <v>100</v>
      </c>
      <c r="H16" s="4">
        <f t="shared" si="1"/>
        <v>700</v>
      </c>
    </row>
    <row r="17" spans="1:8" ht="15" customHeight="1" x14ac:dyDescent="0.25">
      <c r="A17" s="1" t="s">
        <v>48</v>
      </c>
      <c r="B17" s="1" t="s">
        <v>5</v>
      </c>
      <c r="C17" s="3">
        <v>44783</v>
      </c>
      <c r="D17" s="1">
        <v>1</v>
      </c>
      <c r="E17" s="4">
        <f>IF($A17="","",VLOOKUP(A17,'Product Master'!D:N,10,0))</f>
        <v>90000</v>
      </c>
      <c r="F17" s="4">
        <f t="shared" si="0"/>
        <v>90000</v>
      </c>
      <c r="G17" s="4">
        <f>IF($A17="","",VLOOKUP(A17,'Product Master'!D:N,11,0))</f>
        <v>10000</v>
      </c>
      <c r="H17" s="4">
        <f t="shared" si="1"/>
        <v>10000</v>
      </c>
    </row>
    <row r="18" spans="1:8" ht="15" customHeight="1" x14ac:dyDescent="0.25">
      <c r="A18" s="1" t="s">
        <v>49</v>
      </c>
      <c r="B18" s="1" t="s">
        <v>5</v>
      </c>
      <c r="C18" s="3">
        <v>44783</v>
      </c>
      <c r="D18" s="1">
        <v>3</v>
      </c>
      <c r="E18" s="4">
        <f>IF($A18="","",VLOOKUP(A18,'Product Master'!D:N,10,0))</f>
        <v>5000</v>
      </c>
      <c r="F18" s="4">
        <f t="shared" si="0"/>
        <v>15000</v>
      </c>
      <c r="G18" s="4">
        <f>IF($A18="","",VLOOKUP(A18,'Product Master'!D:N,11,0))</f>
        <v>500</v>
      </c>
      <c r="H18" s="4">
        <f t="shared" si="1"/>
        <v>1500</v>
      </c>
    </row>
    <row r="19" spans="1:8" ht="15" customHeight="1" x14ac:dyDescent="0.25">
      <c r="A19" s="1" t="s">
        <v>50</v>
      </c>
      <c r="B19" s="1" t="s">
        <v>5</v>
      </c>
      <c r="C19" s="3">
        <v>44783</v>
      </c>
      <c r="D19" s="1">
        <v>18</v>
      </c>
      <c r="E19" s="4">
        <f>IF($A19="","",VLOOKUP(A19,'Product Master'!D:N,10,0))</f>
        <v>3000</v>
      </c>
      <c r="F19" s="4">
        <f t="shared" si="0"/>
        <v>54000</v>
      </c>
      <c r="G19" s="4">
        <f>IF($A19="","",VLOOKUP(A19,'Product Master'!D:N,11,0))</f>
        <v>500</v>
      </c>
      <c r="H19" s="4">
        <f t="shared" si="1"/>
        <v>9000</v>
      </c>
    </row>
    <row r="20" spans="1:8" ht="15" customHeight="1" x14ac:dyDescent="0.25">
      <c r="A20" s="1" t="s">
        <v>51</v>
      </c>
      <c r="B20" s="1" t="s">
        <v>5</v>
      </c>
      <c r="C20" s="3">
        <v>44783</v>
      </c>
      <c r="D20" s="1">
        <v>1</v>
      </c>
      <c r="E20" s="4">
        <f>IF($A20="","",VLOOKUP(A20,'Product Master'!D:N,10,0))</f>
        <v>12000</v>
      </c>
      <c r="F20" s="4">
        <f t="shared" si="0"/>
        <v>12000</v>
      </c>
      <c r="G20" s="4">
        <f>IF($A20="","",VLOOKUP(A20,'Product Master'!D:N,11,0))</f>
        <v>15000</v>
      </c>
      <c r="H20" s="4">
        <f t="shared" si="1"/>
        <v>15000</v>
      </c>
    </row>
    <row r="21" spans="1:8" ht="15" customHeight="1" x14ac:dyDescent="0.25">
      <c r="A21" s="1" t="s">
        <v>96</v>
      </c>
      <c r="B21" s="1" t="s">
        <v>5</v>
      </c>
      <c r="C21" s="3">
        <v>44783</v>
      </c>
      <c r="D21" s="1">
        <v>3</v>
      </c>
      <c r="E21" s="4">
        <f>IF($A21="","",VLOOKUP(A21,'Product Master'!D:N,10,0))</f>
        <v>65000</v>
      </c>
      <c r="F21" s="4">
        <f t="shared" si="0"/>
        <v>195000</v>
      </c>
      <c r="G21" s="4">
        <f>IF($A21="","",VLOOKUP(A21,'Product Master'!D:N,11,0))</f>
        <v>35000</v>
      </c>
      <c r="H21" s="4">
        <f t="shared" si="1"/>
        <v>105000</v>
      </c>
    </row>
    <row r="22" spans="1:8" ht="15" customHeight="1" x14ac:dyDescent="0.25">
      <c r="A22" s="1" t="s">
        <v>150</v>
      </c>
      <c r="B22" s="1" t="s">
        <v>5</v>
      </c>
      <c r="C22" s="3">
        <v>44783</v>
      </c>
      <c r="D22" s="1">
        <v>19</v>
      </c>
      <c r="E22" s="4">
        <f>IF($A22="","",VLOOKUP(A22,'Product Master'!D:N,10,0))</f>
        <v>10000</v>
      </c>
      <c r="F22" s="4">
        <f t="shared" si="0"/>
        <v>190000</v>
      </c>
      <c r="G22" s="4">
        <f>IF($A22="","",VLOOKUP(A22,'Product Master'!D:N,11,0))</f>
        <v>5000</v>
      </c>
      <c r="H22" s="4">
        <f t="shared" si="1"/>
        <v>95000</v>
      </c>
    </row>
    <row r="23" spans="1:8" ht="15" customHeight="1" x14ac:dyDescent="0.25">
      <c r="A23" s="1" t="s">
        <v>97</v>
      </c>
      <c r="B23" s="1" t="s">
        <v>5</v>
      </c>
      <c r="C23" s="3">
        <v>44783</v>
      </c>
      <c r="D23" s="1">
        <v>33</v>
      </c>
      <c r="E23" s="4">
        <f>IF($A23="","",VLOOKUP(A23,'Product Master'!D:N,10,0))</f>
        <v>20000</v>
      </c>
      <c r="F23" s="4">
        <f t="shared" si="0"/>
        <v>660000</v>
      </c>
      <c r="G23" s="4">
        <f>IF($A23="","",VLOOKUP(A23,'Product Master'!D:N,11,0))</f>
        <v>7000</v>
      </c>
      <c r="H23" s="4">
        <f t="shared" si="1"/>
        <v>231000</v>
      </c>
    </row>
    <row r="24" spans="1:8" ht="15" customHeight="1" x14ac:dyDescent="0.25">
      <c r="A24" s="1" t="s">
        <v>98</v>
      </c>
      <c r="B24" s="1" t="s">
        <v>5</v>
      </c>
      <c r="C24" s="3">
        <v>44783</v>
      </c>
      <c r="D24" s="1">
        <v>4</v>
      </c>
      <c r="E24" s="4">
        <f>IF($A24="","",VLOOKUP(A24,'Product Master'!D:N,10,0))</f>
        <v>2500</v>
      </c>
      <c r="F24" s="4">
        <f t="shared" si="0"/>
        <v>10000</v>
      </c>
      <c r="G24" s="4">
        <f>IF($A24="","",VLOOKUP(A24,'Product Master'!D:N,11,0))</f>
        <v>100</v>
      </c>
      <c r="H24" s="4">
        <f t="shared" si="1"/>
        <v>400</v>
      </c>
    </row>
    <row r="25" spans="1:8" ht="15" customHeight="1" x14ac:dyDescent="0.25">
      <c r="A25" s="1" t="s">
        <v>153</v>
      </c>
      <c r="B25" s="1" t="s">
        <v>5</v>
      </c>
      <c r="C25" s="3">
        <v>44783</v>
      </c>
      <c r="D25" s="1">
        <v>6</v>
      </c>
      <c r="E25" s="4">
        <f>IF($A25="","",VLOOKUP(A25,'Product Master'!D:N,10,0))</f>
        <v>4000</v>
      </c>
      <c r="F25" s="4">
        <f t="shared" si="0"/>
        <v>24000</v>
      </c>
      <c r="G25" s="4">
        <f>IF($A25="","",VLOOKUP(A25,'Product Master'!D:N,11,0))</f>
        <v>1500</v>
      </c>
      <c r="H25" s="4">
        <f t="shared" si="1"/>
        <v>9000</v>
      </c>
    </row>
    <row r="26" spans="1:8" ht="15" customHeight="1" x14ac:dyDescent="0.25">
      <c r="A26" s="1" t="s">
        <v>100</v>
      </c>
      <c r="B26" s="1" t="s">
        <v>5</v>
      </c>
      <c r="C26" s="3">
        <v>44783</v>
      </c>
      <c r="D26" s="1">
        <v>10</v>
      </c>
      <c r="E26" s="4">
        <f>IF($A26="","",VLOOKUP(A26,'Product Master'!D:N,10,0))</f>
        <v>3500</v>
      </c>
      <c r="F26" s="4">
        <f t="shared" si="0"/>
        <v>35000</v>
      </c>
      <c r="G26" s="4">
        <f>IF($A26="","",VLOOKUP(A26,'Product Master'!D:N,11,0))</f>
        <v>500</v>
      </c>
      <c r="H26" s="4">
        <f t="shared" si="1"/>
        <v>5000</v>
      </c>
    </row>
    <row r="27" spans="1:8" ht="15" customHeight="1" x14ac:dyDescent="0.25">
      <c r="A27" s="1" t="s">
        <v>101</v>
      </c>
      <c r="B27" s="1" t="s">
        <v>5</v>
      </c>
      <c r="C27" s="3">
        <v>44783</v>
      </c>
      <c r="D27" s="1">
        <v>152</v>
      </c>
      <c r="E27" s="4">
        <f>IF($A27="","",VLOOKUP(A27,'Product Master'!D:N,10,0))</f>
        <v>500</v>
      </c>
      <c r="F27" s="4">
        <f t="shared" si="0"/>
        <v>76000</v>
      </c>
      <c r="G27" s="4">
        <f>IF($A27="","",VLOOKUP(A27,'Product Master'!D:N,11,0))</f>
        <v>300</v>
      </c>
      <c r="H27" s="4">
        <f t="shared" si="1"/>
        <v>45600</v>
      </c>
    </row>
    <row r="28" spans="1:8" ht="15" customHeight="1" x14ac:dyDescent="0.25">
      <c r="A28" s="1" t="s">
        <v>102</v>
      </c>
      <c r="B28" s="1" t="s">
        <v>5</v>
      </c>
      <c r="C28" s="3">
        <v>44783</v>
      </c>
      <c r="D28" s="1">
        <v>1</v>
      </c>
      <c r="E28" s="4">
        <f>IF($A28="","",VLOOKUP(A28,'Product Master'!D:N,10,0))</f>
        <v>3000</v>
      </c>
      <c r="F28" s="4">
        <f t="shared" si="0"/>
        <v>3000</v>
      </c>
      <c r="G28" s="4">
        <f>IF($A28="","",VLOOKUP(A28,'Product Master'!D:N,11,0))</f>
        <v>500</v>
      </c>
      <c r="H28" s="4">
        <f t="shared" si="1"/>
        <v>500</v>
      </c>
    </row>
    <row r="29" spans="1:8" ht="15" customHeight="1" x14ac:dyDescent="0.25">
      <c r="A29" s="1" t="s">
        <v>103</v>
      </c>
      <c r="B29" s="1" t="s">
        <v>5</v>
      </c>
      <c r="C29" s="3">
        <v>44783</v>
      </c>
      <c r="D29" s="1">
        <v>1</v>
      </c>
      <c r="E29" s="4">
        <f>IF($A29="","",VLOOKUP(A29,'Product Master'!D:N,10,0))</f>
        <v>1500</v>
      </c>
      <c r="F29" s="4">
        <f t="shared" si="0"/>
        <v>1500</v>
      </c>
      <c r="G29" s="4">
        <f>IF($A29="","",VLOOKUP(A29,'Product Master'!D:N,11,0))</f>
        <v>100</v>
      </c>
      <c r="H29" s="4">
        <f t="shared" si="1"/>
        <v>100</v>
      </c>
    </row>
    <row r="30" spans="1:8" ht="15" customHeight="1" x14ac:dyDescent="0.25">
      <c r="A30" s="1" t="s">
        <v>104</v>
      </c>
      <c r="B30" s="1" t="s">
        <v>5</v>
      </c>
      <c r="C30" s="3">
        <v>44783</v>
      </c>
      <c r="D30" s="1">
        <v>2</v>
      </c>
      <c r="E30" s="4">
        <f>IF($A30="","",VLOOKUP(A30,'Product Master'!D:N,10,0))</f>
        <v>2000</v>
      </c>
      <c r="F30" s="4">
        <f t="shared" si="0"/>
        <v>4000</v>
      </c>
      <c r="G30" s="4">
        <f>IF($A30="","",VLOOKUP(A30,'Product Master'!D:N,11,0))</f>
        <v>700</v>
      </c>
      <c r="H30" s="4">
        <f t="shared" si="1"/>
        <v>1400</v>
      </c>
    </row>
    <row r="31" spans="1:8" ht="15" customHeight="1" x14ac:dyDescent="0.25">
      <c r="A31" s="1" t="s">
        <v>106</v>
      </c>
      <c r="B31" s="1" t="s">
        <v>5</v>
      </c>
      <c r="C31" s="3">
        <v>44783</v>
      </c>
      <c r="D31" s="1">
        <v>6</v>
      </c>
      <c r="E31" s="4">
        <f>IF($A31="","",VLOOKUP(A31,'Product Master'!D:N,10,0))</f>
        <v>15000</v>
      </c>
      <c r="F31" s="4">
        <f t="shared" si="0"/>
        <v>90000</v>
      </c>
      <c r="G31" s="4">
        <f>IF($A31="","",VLOOKUP(A31,'Product Master'!D:N,11,0))</f>
        <v>16000</v>
      </c>
      <c r="H31" s="4">
        <f t="shared" si="1"/>
        <v>96000</v>
      </c>
    </row>
    <row r="32" spans="1:8" ht="15" customHeight="1" x14ac:dyDescent="0.25">
      <c r="A32" s="1" t="s">
        <v>108</v>
      </c>
      <c r="B32" s="1" t="s">
        <v>5</v>
      </c>
      <c r="C32" s="3">
        <v>44783</v>
      </c>
      <c r="D32" s="1">
        <v>7</v>
      </c>
      <c r="E32" s="4">
        <f>IF($A32="","",VLOOKUP(A32,'Product Master'!D:N,10,0))</f>
        <v>1500</v>
      </c>
      <c r="F32" s="4">
        <f t="shared" si="0"/>
        <v>10500</v>
      </c>
      <c r="G32" s="4">
        <f>IF($A32="","",VLOOKUP(A32,'Product Master'!D:N,11,0))</f>
        <v>300</v>
      </c>
      <c r="H32" s="4">
        <f t="shared" si="1"/>
        <v>2100</v>
      </c>
    </row>
    <row r="33" spans="1:8" ht="15" customHeight="1" x14ac:dyDescent="0.25">
      <c r="A33" s="1" t="s">
        <v>110</v>
      </c>
      <c r="B33" s="1" t="s">
        <v>5</v>
      </c>
      <c r="C33" s="3">
        <v>44783</v>
      </c>
      <c r="D33" s="1">
        <v>3</v>
      </c>
      <c r="E33" s="4">
        <f>IF($A33="","",VLOOKUP(A33,'Product Master'!D:N,10,0))</f>
        <v>15000</v>
      </c>
      <c r="F33" s="4">
        <f t="shared" si="0"/>
        <v>45000</v>
      </c>
      <c r="G33" s="4">
        <f>IF($A33="","",VLOOKUP(A33,'Product Master'!D:N,11,0))</f>
        <v>7500</v>
      </c>
      <c r="H33" s="4">
        <f t="shared" si="1"/>
        <v>22500</v>
      </c>
    </row>
    <row r="34" spans="1:8" ht="15" customHeight="1" x14ac:dyDescent="0.25">
      <c r="A34" s="1" t="s">
        <v>111</v>
      </c>
      <c r="B34" s="1" t="s">
        <v>5</v>
      </c>
      <c r="C34" s="3">
        <v>44783</v>
      </c>
      <c r="D34" s="1">
        <v>6</v>
      </c>
      <c r="E34" s="4">
        <f>IF($A34="","",VLOOKUP(A34,'Product Master'!D:N,10,0))</f>
        <v>4000</v>
      </c>
      <c r="F34" s="4">
        <f t="shared" si="0"/>
        <v>24000</v>
      </c>
      <c r="G34" s="4">
        <f>IF($A34="","",VLOOKUP(A34,'Product Master'!D:N,11,0))</f>
        <v>100</v>
      </c>
      <c r="H34" s="4">
        <f t="shared" si="1"/>
        <v>600</v>
      </c>
    </row>
    <row r="35" spans="1:8" ht="15" customHeight="1" x14ac:dyDescent="0.25">
      <c r="A35" s="1" t="s">
        <v>113</v>
      </c>
      <c r="B35" s="1" t="s">
        <v>5</v>
      </c>
      <c r="C35" s="3">
        <v>44783</v>
      </c>
      <c r="D35" s="1">
        <v>4</v>
      </c>
      <c r="E35" s="4">
        <f>IF($A35="","",VLOOKUP(A35,'Product Master'!D:N,10,0))</f>
        <v>65000</v>
      </c>
      <c r="F35" s="4">
        <f t="shared" si="0"/>
        <v>260000</v>
      </c>
      <c r="G35" s="4">
        <f>IF($A35="","",VLOOKUP(A35,'Product Master'!D:N,11,0))</f>
        <v>35000</v>
      </c>
      <c r="H35" s="4">
        <f t="shared" si="1"/>
        <v>140000</v>
      </c>
    </row>
    <row r="36" spans="1:8" ht="15" customHeight="1" x14ac:dyDescent="0.25">
      <c r="A36" s="1" t="s">
        <v>114</v>
      </c>
      <c r="B36" s="1" t="s">
        <v>5</v>
      </c>
      <c r="C36" s="3">
        <v>44783</v>
      </c>
      <c r="D36" s="1">
        <v>2</v>
      </c>
      <c r="E36" s="4">
        <f>IF($A36="","",VLOOKUP(A36,'Product Master'!D:N,10,0))</f>
        <v>65000</v>
      </c>
      <c r="F36" s="4">
        <f t="shared" si="0"/>
        <v>130000</v>
      </c>
      <c r="G36" s="4">
        <f>IF($A36="","",VLOOKUP(A36,'Product Master'!D:N,11,0))</f>
        <v>35000</v>
      </c>
      <c r="H36" s="4">
        <f t="shared" si="1"/>
        <v>70000</v>
      </c>
    </row>
    <row r="37" spans="1:8" ht="15" customHeight="1" x14ac:dyDescent="0.25">
      <c r="A37" s="1"/>
      <c r="B37" s="1"/>
      <c r="C37" s="3"/>
      <c r="D37" s="1"/>
      <c r="E37" s="4" t="str">
        <f>IF($A37="","",VLOOKUP(A37,'Product Master'!D:N,10,0))</f>
        <v/>
      </c>
      <c r="F37" s="4" t="str">
        <f t="shared" si="0"/>
        <v/>
      </c>
      <c r="G37" s="4" t="str">
        <f>IF($A37="","",VLOOKUP(A37,'Product Master'!D:N,11,0))</f>
        <v/>
      </c>
      <c r="H37" s="4" t="str">
        <f t="shared" si="1"/>
        <v/>
      </c>
    </row>
    <row r="38" spans="1:8" ht="15" customHeight="1" x14ac:dyDescent="0.25">
      <c r="A38" s="1"/>
      <c r="B38" s="1"/>
      <c r="C38" s="3"/>
      <c r="D38" s="1"/>
      <c r="E38" s="4" t="str">
        <f>IF($A38="","",VLOOKUP(A38,'Product Master'!D:N,10,0))</f>
        <v/>
      </c>
      <c r="F38" s="4" t="str">
        <f t="shared" ref="F38" si="2">IF(A38="","",D38*E38)</f>
        <v/>
      </c>
      <c r="G38" s="4" t="str">
        <f>IF($A38="","",VLOOKUP(A38,'Product Master'!D:N,11,0))</f>
        <v/>
      </c>
      <c r="H38" s="4" t="str">
        <f t="shared" ref="H38" si="3">IF(A38="","",D38*G38)</f>
        <v/>
      </c>
    </row>
    <row r="39" spans="1:8" ht="15" customHeight="1" x14ac:dyDescent="0.25">
      <c r="A39" s="1"/>
      <c r="B39" s="1"/>
      <c r="C39" s="3"/>
      <c r="D39" s="1"/>
      <c r="E39" s="4" t="str">
        <f>IF($A39="","",VLOOKUP(A39,'Product Master'!D:N,10,0))</f>
        <v/>
      </c>
      <c r="F39" s="4" t="str">
        <f t="shared" ref="F39:F41" si="4">IF(A39="","",D39*E39)</f>
        <v/>
      </c>
      <c r="G39" s="4" t="str">
        <f>IF($A39="","",VLOOKUP(A39,'Product Master'!D:N,11,0))</f>
        <v/>
      </c>
      <c r="H39" s="4" t="str">
        <f t="shared" ref="H39:H41" si="5">IF(A39="","",D39*G39)</f>
        <v/>
      </c>
    </row>
    <row r="40" spans="1:8" ht="15" customHeight="1" x14ac:dyDescent="0.25">
      <c r="A40" s="1"/>
      <c r="B40" s="1"/>
      <c r="C40" s="3"/>
      <c r="D40" s="1"/>
      <c r="E40" s="4" t="str">
        <f>IF($A40="","",VLOOKUP(A40,'Product Master'!D:N,10,0))</f>
        <v/>
      </c>
      <c r="F40" s="4" t="str">
        <f t="shared" si="4"/>
        <v/>
      </c>
      <c r="G40" s="4" t="str">
        <f>IF($A40="","",VLOOKUP(A40,'Product Master'!D:N,11,0))</f>
        <v/>
      </c>
      <c r="H40" s="4" t="str">
        <f t="shared" si="5"/>
        <v/>
      </c>
    </row>
    <row r="41" spans="1:8" ht="15" customHeight="1" x14ac:dyDescent="0.25">
      <c r="A41" s="1"/>
      <c r="B41" s="1"/>
      <c r="C41" s="3"/>
      <c r="D41" s="1"/>
      <c r="E41" s="4" t="str">
        <f>IF($A41="","",VLOOKUP(A41,'Product Master'!D:N,10,0))</f>
        <v/>
      </c>
      <c r="F41" s="4" t="str">
        <f t="shared" si="4"/>
        <v/>
      </c>
      <c r="G41" s="4" t="str">
        <f>IF($A41="","",VLOOKUP(A41,'Product Master'!D:N,11,0))</f>
        <v/>
      </c>
      <c r="H41" s="4" t="str">
        <f t="shared" si="5"/>
        <v/>
      </c>
    </row>
    <row r="42" spans="1:8" ht="15" customHeight="1" x14ac:dyDescent="0.25">
      <c r="A42" s="1"/>
      <c r="B42" s="1"/>
      <c r="C42" s="3"/>
      <c r="D42" s="1"/>
      <c r="E42" s="4" t="str">
        <f>IF($A42="","",VLOOKUP(A42,'Product Master'!D:N,10,0))</f>
        <v/>
      </c>
      <c r="F42" s="4" t="str">
        <f t="shared" ref="F42:F54" si="6">IF(A42="","",D42*E42)</f>
        <v/>
      </c>
      <c r="G42" s="4" t="str">
        <f>IF($A42="","",VLOOKUP(A42,'Product Master'!D:N,11,0))</f>
        <v/>
      </c>
      <c r="H42" s="4" t="str">
        <f t="shared" ref="H42:H54" si="7">IF(A42="","",D42*G42)</f>
        <v/>
      </c>
    </row>
    <row r="43" spans="1:8" ht="15" customHeight="1" x14ac:dyDescent="0.25">
      <c r="A43" s="1"/>
      <c r="B43" s="1"/>
      <c r="C43" s="3"/>
      <c r="D43" s="1"/>
      <c r="E43" s="4" t="str">
        <f>IF($A43="","",VLOOKUP(A43,'Product Master'!D:N,10,0))</f>
        <v/>
      </c>
      <c r="F43" s="4" t="str">
        <f t="shared" si="6"/>
        <v/>
      </c>
      <c r="G43" s="4" t="str">
        <f>IF($A43="","",VLOOKUP(A43,'Product Master'!D:N,11,0))</f>
        <v/>
      </c>
      <c r="H43" s="4" t="str">
        <f t="shared" si="7"/>
        <v/>
      </c>
    </row>
    <row r="44" spans="1:8" ht="15" customHeight="1" x14ac:dyDescent="0.25">
      <c r="A44" s="1"/>
      <c r="B44" s="1"/>
      <c r="C44" s="3"/>
      <c r="D44" s="1"/>
      <c r="E44" s="4" t="str">
        <f>IF($A44="","",VLOOKUP(A44,'Product Master'!D:N,10,0))</f>
        <v/>
      </c>
      <c r="F44" s="4" t="str">
        <f t="shared" si="6"/>
        <v/>
      </c>
      <c r="G44" s="4" t="str">
        <f>IF($A44="","",VLOOKUP(A44,'Product Master'!D:N,11,0))</f>
        <v/>
      </c>
      <c r="H44" s="4" t="str">
        <f t="shared" si="7"/>
        <v/>
      </c>
    </row>
    <row r="45" spans="1:8" ht="15" customHeight="1" x14ac:dyDescent="0.25">
      <c r="A45" s="1"/>
      <c r="B45" s="1"/>
      <c r="C45" s="3"/>
      <c r="D45" s="1"/>
      <c r="E45" s="4" t="str">
        <f>IF($A45="","",VLOOKUP(A45,'Product Master'!D:N,10,0))</f>
        <v/>
      </c>
      <c r="F45" s="4" t="str">
        <f t="shared" si="6"/>
        <v/>
      </c>
      <c r="G45" s="4" t="str">
        <f>IF($A45="","",VLOOKUP(A45,'Product Master'!D:N,11,0))</f>
        <v/>
      </c>
      <c r="H45" s="4" t="str">
        <f t="shared" si="7"/>
        <v/>
      </c>
    </row>
    <row r="46" spans="1:8" ht="15" customHeight="1" x14ac:dyDescent="0.25">
      <c r="A46" s="1"/>
      <c r="B46" s="1"/>
      <c r="C46" s="3"/>
      <c r="D46" s="1"/>
      <c r="E46" s="4" t="str">
        <f>IF($A46="","",VLOOKUP(A46,'Product Master'!D:N,10,0))</f>
        <v/>
      </c>
      <c r="F46" s="4" t="str">
        <f t="shared" si="6"/>
        <v/>
      </c>
      <c r="G46" s="4" t="str">
        <f>IF($A46="","",VLOOKUP(A46,'Product Master'!D:N,11,0))</f>
        <v/>
      </c>
      <c r="H46" s="4" t="str">
        <f t="shared" si="7"/>
        <v/>
      </c>
    </row>
    <row r="47" spans="1:8" ht="15" customHeight="1" x14ac:dyDescent="0.25">
      <c r="A47" s="1"/>
      <c r="B47" s="1"/>
      <c r="C47" s="3"/>
      <c r="D47" s="1"/>
      <c r="E47" s="4" t="str">
        <f>IF($A47="","",VLOOKUP(A47,'Product Master'!D:N,10,0))</f>
        <v/>
      </c>
      <c r="F47" s="4" t="str">
        <f t="shared" si="6"/>
        <v/>
      </c>
      <c r="G47" s="4" t="str">
        <f>IF($A47="","",VLOOKUP(A47,'Product Master'!D:N,11,0))</f>
        <v/>
      </c>
      <c r="H47" s="4" t="str">
        <f t="shared" si="7"/>
        <v/>
      </c>
    </row>
    <row r="48" spans="1:8" ht="15" customHeight="1" x14ac:dyDescent="0.25">
      <c r="A48" s="1"/>
      <c r="B48" s="1"/>
      <c r="C48" s="3"/>
      <c r="D48" s="1"/>
      <c r="E48" s="4" t="str">
        <f>IF($A48="","",VLOOKUP(A48,'Product Master'!D:N,10,0))</f>
        <v/>
      </c>
      <c r="F48" s="4" t="str">
        <f t="shared" si="6"/>
        <v/>
      </c>
      <c r="G48" s="4" t="str">
        <f>IF($A48="","",VLOOKUP(A48,'Product Master'!D:N,11,0))</f>
        <v/>
      </c>
      <c r="H48" s="4" t="str">
        <f t="shared" si="7"/>
        <v/>
      </c>
    </row>
    <row r="49" spans="1:8" ht="15" customHeight="1" x14ac:dyDescent="0.25">
      <c r="A49" s="1"/>
      <c r="B49" s="1"/>
      <c r="C49" s="3"/>
      <c r="D49" s="1"/>
      <c r="E49" s="4" t="str">
        <f>IF($A49="","",VLOOKUP(A49,'Product Master'!D:N,10,0))</f>
        <v/>
      </c>
      <c r="F49" s="4" t="str">
        <f t="shared" si="6"/>
        <v/>
      </c>
      <c r="G49" s="4" t="str">
        <f>IF($A49="","",VLOOKUP(A49,'Product Master'!D:N,11,0))</f>
        <v/>
      </c>
      <c r="H49" s="4" t="str">
        <f t="shared" si="7"/>
        <v/>
      </c>
    </row>
    <row r="50" spans="1:8" ht="15" customHeight="1" x14ac:dyDescent="0.25">
      <c r="A50" s="1"/>
      <c r="B50" s="1"/>
      <c r="C50" s="3"/>
      <c r="D50" s="1"/>
      <c r="E50" s="4" t="str">
        <f>IF($A50="","",VLOOKUP(A50,'Product Master'!D:N,10,0))</f>
        <v/>
      </c>
      <c r="F50" s="4" t="str">
        <f t="shared" si="6"/>
        <v/>
      </c>
      <c r="G50" s="4" t="str">
        <f>IF($A50="","",VLOOKUP(A50,'Product Master'!D:N,11,0))</f>
        <v/>
      </c>
      <c r="H50" s="4" t="str">
        <f t="shared" si="7"/>
        <v/>
      </c>
    </row>
    <row r="51" spans="1:8" ht="15" customHeight="1" x14ac:dyDescent="0.25">
      <c r="A51" s="1"/>
      <c r="B51" s="1"/>
      <c r="C51" s="3"/>
      <c r="D51" s="1"/>
      <c r="E51" s="4" t="str">
        <f>IF($A51="","",VLOOKUP(A51,'Product Master'!D:N,10,0))</f>
        <v/>
      </c>
      <c r="F51" s="4" t="str">
        <f t="shared" si="6"/>
        <v/>
      </c>
      <c r="G51" s="4" t="str">
        <f>IF($A51="","",VLOOKUP(A51,'Product Master'!D:N,11,0))</f>
        <v/>
      </c>
      <c r="H51" s="4" t="str">
        <f t="shared" si="7"/>
        <v/>
      </c>
    </row>
    <row r="52" spans="1:8" ht="15" customHeight="1" x14ac:dyDescent="0.25">
      <c r="A52" s="1"/>
      <c r="B52" s="1"/>
      <c r="C52" s="3"/>
      <c r="D52" s="1"/>
      <c r="E52" s="4" t="str">
        <f>IF($A52="","",VLOOKUP(A52,'Product Master'!D:N,10,0))</f>
        <v/>
      </c>
      <c r="F52" s="4" t="str">
        <f t="shared" si="6"/>
        <v/>
      </c>
      <c r="G52" s="4" t="str">
        <f>IF($A52="","",VLOOKUP(A52,'Product Master'!D:N,11,0))</f>
        <v/>
      </c>
      <c r="H52" s="4" t="str">
        <f t="shared" si="7"/>
        <v/>
      </c>
    </row>
    <row r="53" spans="1:8" ht="15" customHeight="1" x14ac:dyDescent="0.25">
      <c r="A53" s="1"/>
      <c r="B53" s="1"/>
      <c r="C53" s="3"/>
      <c r="D53" s="1"/>
      <c r="E53" s="4" t="str">
        <f>IF($A53="","",VLOOKUP(A53,'Product Master'!D:N,10,0))</f>
        <v/>
      </c>
      <c r="F53" s="4" t="str">
        <f t="shared" si="6"/>
        <v/>
      </c>
      <c r="G53" s="4" t="str">
        <f>IF($A53="","",VLOOKUP(A53,'Product Master'!D:N,11,0))</f>
        <v/>
      </c>
      <c r="H53" s="4" t="str">
        <f t="shared" si="7"/>
        <v/>
      </c>
    </row>
    <row r="54" spans="1:8" ht="15" customHeight="1" x14ac:dyDescent="0.25">
      <c r="A54" s="1"/>
      <c r="B54" s="1"/>
      <c r="C54" s="3"/>
      <c r="D54" s="1"/>
      <c r="E54" s="4" t="str">
        <f>IF($A54="","",VLOOKUP(A54,'Product Master'!D:N,10,0))</f>
        <v/>
      </c>
      <c r="F54" s="4" t="str">
        <f t="shared" si="6"/>
        <v/>
      </c>
      <c r="G54" s="4" t="str">
        <f>IF($A54="","",VLOOKUP(A54,'Product Master'!D:N,11,0))</f>
        <v/>
      </c>
      <c r="H54" s="4" t="str">
        <f t="shared" si="7"/>
        <v/>
      </c>
    </row>
    <row r="55" spans="1:8" ht="15" customHeight="1" x14ac:dyDescent="0.25">
      <c r="A55" s="1"/>
      <c r="B55" s="1"/>
      <c r="C55" s="3"/>
      <c r="D55" s="1"/>
      <c r="E55" s="4" t="str">
        <f>IF($A55="","",VLOOKUP(A55,'Product Master'!D:N,10,0))</f>
        <v/>
      </c>
      <c r="F55" s="4" t="str">
        <f t="shared" ref="F55:F100" si="8">IF(A55="","",D55*E55)</f>
        <v/>
      </c>
      <c r="G55" s="4" t="str">
        <f>IF($A55="","",VLOOKUP(A55,'Product Master'!D:N,11,0))</f>
        <v/>
      </c>
      <c r="H55" s="4" t="str">
        <f t="shared" ref="H55:H66" si="9">IF(A55="","",D55*G55)</f>
        <v/>
      </c>
    </row>
    <row r="56" spans="1:8" ht="15" customHeight="1" x14ac:dyDescent="0.25">
      <c r="A56" s="1"/>
      <c r="B56" s="1"/>
      <c r="C56" s="3"/>
      <c r="D56" s="1"/>
      <c r="E56" s="4" t="str">
        <f>IF($A56="","",VLOOKUP(A56,'Product Master'!D:N,10,0))</f>
        <v/>
      </c>
      <c r="F56" s="4" t="str">
        <f t="shared" si="8"/>
        <v/>
      </c>
      <c r="G56" s="4" t="str">
        <f>IF($A56="","",VLOOKUP(A56,'Product Master'!D:N,11,0))</f>
        <v/>
      </c>
      <c r="H56" s="4" t="str">
        <f t="shared" si="9"/>
        <v/>
      </c>
    </row>
    <row r="57" spans="1:8" ht="15" customHeight="1" x14ac:dyDescent="0.25">
      <c r="A57" s="1"/>
      <c r="B57" s="1"/>
      <c r="C57" s="3"/>
      <c r="D57" s="1"/>
      <c r="E57" s="4" t="str">
        <f>IF($A57="","",VLOOKUP(A57,'Product Master'!D:N,10,0))</f>
        <v/>
      </c>
      <c r="F57" s="4" t="str">
        <f t="shared" si="8"/>
        <v/>
      </c>
      <c r="G57" s="4" t="str">
        <f>IF($A57="","",VLOOKUP(A57,'Product Master'!D:N,11,0))</f>
        <v/>
      </c>
      <c r="H57" s="4" t="str">
        <f t="shared" si="9"/>
        <v/>
      </c>
    </row>
    <row r="58" spans="1:8" ht="15" customHeight="1" x14ac:dyDescent="0.25">
      <c r="A58" s="1"/>
      <c r="B58" s="1"/>
      <c r="C58" s="3"/>
      <c r="D58" s="1"/>
      <c r="E58" s="4" t="str">
        <f>IF($A58="","",VLOOKUP(A58,'Product Master'!D:N,10,0))</f>
        <v/>
      </c>
      <c r="F58" s="4" t="str">
        <f t="shared" si="8"/>
        <v/>
      </c>
      <c r="G58" s="4" t="str">
        <f>IF($A58="","",VLOOKUP(A58,'Product Master'!D:N,11,0))</f>
        <v/>
      </c>
      <c r="H58" s="4" t="str">
        <f t="shared" si="9"/>
        <v/>
      </c>
    </row>
    <row r="59" spans="1:8" ht="15" customHeight="1" x14ac:dyDescent="0.25">
      <c r="A59" s="1"/>
      <c r="B59" s="1"/>
      <c r="C59" s="3"/>
      <c r="D59" s="1"/>
      <c r="E59" s="4" t="str">
        <f>IF($A59="","",VLOOKUP(A59,'Product Master'!D:N,10,0))</f>
        <v/>
      </c>
      <c r="F59" s="4" t="str">
        <f t="shared" si="8"/>
        <v/>
      </c>
      <c r="G59" s="4" t="str">
        <f>IF($A59="","",VLOOKUP(A59,'Product Master'!D:N,11,0))</f>
        <v/>
      </c>
      <c r="H59" s="4" t="str">
        <f t="shared" si="9"/>
        <v/>
      </c>
    </row>
    <row r="60" spans="1:8" ht="15" customHeight="1" x14ac:dyDescent="0.25">
      <c r="A60" s="1"/>
      <c r="B60" s="1"/>
      <c r="C60" s="3"/>
      <c r="D60" s="1"/>
      <c r="E60" s="4" t="str">
        <f>IF($A60="","",VLOOKUP(A60,'Product Master'!D:N,10,0))</f>
        <v/>
      </c>
      <c r="F60" s="4" t="str">
        <f t="shared" si="8"/>
        <v/>
      </c>
      <c r="G60" s="4" t="str">
        <f>IF($A60="","",VLOOKUP(A60,'Product Master'!D:N,11,0))</f>
        <v/>
      </c>
      <c r="H60" s="4" t="str">
        <f t="shared" si="9"/>
        <v/>
      </c>
    </row>
    <row r="61" spans="1:8" ht="15" customHeight="1" x14ac:dyDescent="0.25">
      <c r="A61" s="1"/>
      <c r="B61" s="1"/>
      <c r="C61" s="3"/>
      <c r="D61" s="1"/>
      <c r="E61" s="4" t="str">
        <f>IF($A61="","",VLOOKUP(A61,'Product Master'!D:N,10,0))</f>
        <v/>
      </c>
      <c r="F61" s="4" t="str">
        <f t="shared" si="8"/>
        <v/>
      </c>
      <c r="G61" s="4" t="str">
        <f>IF($A61="","",VLOOKUP(A61,'Product Master'!D:N,11,0))</f>
        <v/>
      </c>
      <c r="H61" s="4" t="str">
        <f t="shared" si="9"/>
        <v/>
      </c>
    </row>
    <row r="62" spans="1:8" ht="15" customHeight="1" x14ac:dyDescent="0.25">
      <c r="A62" s="1"/>
      <c r="B62" s="1"/>
      <c r="C62" s="3"/>
      <c r="D62" s="1"/>
      <c r="E62" s="4" t="str">
        <f>IF($A62="","",VLOOKUP(A62,'Product Master'!D:N,10,0))</f>
        <v/>
      </c>
      <c r="F62" s="4" t="str">
        <f t="shared" si="8"/>
        <v/>
      </c>
      <c r="G62" s="4" t="str">
        <f>IF($A62="","",VLOOKUP(A62,'Product Master'!D:N,11,0))</f>
        <v/>
      </c>
      <c r="H62" s="4" t="str">
        <f t="shared" si="9"/>
        <v/>
      </c>
    </row>
    <row r="63" spans="1:8" ht="15" customHeight="1" x14ac:dyDescent="0.25">
      <c r="A63" s="1"/>
      <c r="B63" s="1"/>
      <c r="C63" s="3"/>
      <c r="D63" s="1"/>
      <c r="E63" s="4" t="str">
        <f>IF($A63="","",VLOOKUP(A63,'Product Master'!D:N,10,0))</f>
        <v/>
      </c>
      <c r="F63" s="4" t="str">
        <f t="shared" si="8"/>
        <v/>
      </c>
      <c r="G63" s="4" t="str">
        <f>IF($A63="","",VLOOKUP(A63,'Product Master'!D:N,11,0))</f>
        <v/>
      </c>
      <c r="H63" s="4" t="str">
        <f t="shared" si="9"/>
        <v/>
      </c>
    </row>
    <row r="64" spans="1:8" ht="15" customHeight="1" x14ac:dyDescent="0.25">
      <c r="A64" s="1"/>
      <c r="B64" s="1"/>
      <c r="C64" s="3"/>
      <c r="D64" s="1"/>
      <c r="E64" s="4" t="str">
        <f>IF($A64="","",VLOOKUP(A64,'Product Master'!D:N,10,0))</f>
        <v/>
      </c>
      <c r="F64" s="4" t="str">
        <f t="shared" si="8"/>
        <v/>
      </c>
      <c r="G64" s="4" t="str">
        <f>IF($A64="","",VLOOKUP(A64,'Product Master'!D:N,11,0))</f>
        <v/>
      </c>
      <c r="H64" s="4" t="str">
        <f t="shared" si="9"/>
        <v/>
      </c>
    </row>
    <row r="65" spans="1:8" ht="15" customHeight="1" x14ac:dyDescent="0.25">
      <c r="A65" s="1"/>
      <c r="B65" s="1"/>
      <c r="C65" s="3"/>
      <c r="D65" s="1"/>
      <c r="E65" s="4" t="str">
        <f>IF($A65="","",VLOOKUP(A65,'Product Master'!D:N,10,0))</f>
        <v/>
      </c>
      <c r="F65" s="4" t="str">
        <f t="shared" si="8"/>
        <v/>
      </c>
      <c r="G65" s="4" t="str">
        <f>IF($A65="","",VLOOKUP(A65,'Product Master'!D:N,11,0))</f>
        <v/>
      </c>
      <c r="H65" s="4" t="str">
        <f t="shared" si="9"/>
        <v/>
      </c>
    </row>
    <row r="66" spans="1:8" ht="15" customHeight="1" x14ac:dyDescent="0.25">
      <c r="A66" s="1"/>
      <c r="B66" s="1"/>
      <c r="C66" s="3"/>
      <c r="D66" s="1"/>
      <c r="E66" s="4" t="str">
        <f>IF($A66="","",VLOOKUP(A66,'Product Master'!D:N,10,0))</f>
        <v/>
      </c>
      <c r="F66" s="4" t="str">
        <f t="shared" si="8"/>
        <v/>
      </c>
      <c r="G66" s="4" t="str">
        <f>IF($A66="","",VLOOKUP(A66,'Product Master'!D:N,11,0))</f>
        <v/>
      </c>
      <c r="H66" s="4" t="str">
        <f t="shared" si="9"/>
        <v/>
      </c>
    </row>
    <row r="67" spans="1:8" ht="15" customHeight="1" x14ac:dyDescent="0.25">
      <c r="A67" s="1"/>
      <c r="B67" s="1"/>
      <c r="C67" s="3"/>
      <c r="D67" s="1"/>
      <c r="E67" s="4" t="str">
        <f>IF($A67="","",VLOOKUP(A67,'Product Master'!D:N,10,0))</f>
        <v/>
      </c>
      <c r="F67" s="4" t="str">
        <f t="shared" si="8"/>
        <v/>
      </c>
      <c r="G67" s="4" t="str">
        <f>IF($A67="","",VLOOKUP(A67,'Product Master'!D:N,11,0))</f>
        <v/>
      </c>
      <c r="H67" s="4" t="str">
        <f t="shared" ref="H67:H100" si="10">IF(A67="","",D67*G67)</f>
        <v/>
      </c>
    </row>
    <row r="68" spans="1:8" ht="15" customHeight="1" x14ac:dyDescent="0.25">
      <c r="A68" s="1"/>
      <c r="B68" s="1"/>
      <c r="C68" s="3"/>
      <c r="D68" s="1"/>
      <c r="E68" s="4" t="str">
        <f>IF($A68="","",VLOOKUP(A68,'Product Master'!D:N,10,0))</f>
        <v/>
      </c>
      <c r="F68" s="4" t="str">
        <f t="shared" si="8"/>
        <v/>
      </c>
      <c r="G68" s="4" t="str">
        <f>IF($A68="","",VLOOKUP(A68,'Product Master'!D:N,11,0))</f>
        <v/>
      </c>
      <c r="H68" s="4" t="str">
        <f t="shared" si="10"/>
        <v/>
      </c>
    </row>
    <row r="69" spans="1:8" ht="15" customHeight="1" x14ac:dyDescent="0.25">
      <c r="A69" s="1"/>
      <c r="B69" s="1"/>
      <c r="C69" s="3"/>
      <c r="D69" s="1"/>
      <c r="E69" s="4" t="str">
        <f>IF($A69="","",VLOOKUP(A69,'Product Master'!D:N,10,0))</f>
        <v/>
      </c>
      <c r="F69" s="4" t="str">
        <f t="shared" si="8"/>
        <v/>
      </c>
      <c r="G69" s="4" t="str">
        <f>IF($A69="","",VLOOKUP(A69,'Product Master'!D:N,11,0))</f>
        <v/>
      </c>
      <c r="H69" s="4" t="str">
        <f t="shared" si="10"/>
        <v/>
      </c>
    </row>
    <row r="70" spans="1:8" ht="15" customHeight="1" x14ac:dyDescent="0.25">
      <c r="A70" s="1"/>
      <c r="B70" s="1"/>
      <c r="C70" s="3"/>
      <c r="D70" s="1"/>
      <c r="E70" s="4" t="str">
        <f>IF($A70="","",VLOOKUP(A70,'Product Master'!D:N,10,0))</f>
        <v/>
      </c>
      <c r="F70" s="4" t="str">
        <f t="shared" si="8"/>
        <v/>
      </c>
      <c r="G70" s="4" t="str">
        <f>IF($A70="","",VLOOKUP(A70,'Product Master'!D:N,11,0))</f>
        <v/>
      </c>
      <c r="H70" s="4" t="str">
        <f t="shared" si="10"/>
        <v/>
      </c>
    </row>
    <row r="71" spans="1:8" ht="15" customHeight="1" x14ac:dyDescent="0.25">
      <c r="A71" s="1"/>
      <c r="B71" s="1"/>
      <c r="C71" s="3"/>
      <c r="D71" s="1"/>
      <c r="E71" s="4" t="str">
        <f>IF($A71="","",VLOOKUP(A71,'Product Master'!D:N,10,0))</f>
        <v/>
      </c>
      <c r="F71" s="4" t="str">
        <f t="shared" si="8"/>
        <v/>
      </c>
      <c r="G71" s="4" t="str">
        <f>IF($A71="","",VLOOKUP(A71,'Product Master'!D:N,11,0))</f>
        <v/>
      </c>
      <c r="H71" s="4" t="str">
        <f t="shared" si="10"/>
        <v/>
      </c>
    </row>
    <row r="72" spans="1:8" ht="15" customHeight="1" x14ac:dyDescent="0.25">
      <c r="A72" s="1"/>
      <c r="B72" s="1"/>
      <c r="C72" s="3"/>
      <c r="D72" s="1"/>
      <c r="E72" s="4" t="str">
        <f>IF($A72="","",VLOOKUP(A72,'Product Master'!D:N,10,0))</f>
        <v/>
      </c>
      <c r="F72" s="4" t="str">
        <f t="shared" si="8"/>
        <v/>
      </c>
      <c r="G72" s="4" t="str">
        <f>IF($A72="","",VLOOKUP(A72,'Product Master'!D:N,11,0))</f>
        <v/>
      </c>
      <c r="H72" s="4" t="str">
        <f t="shared" si="10"/>
        <v/>
      </c>
    </row>
    <row r="73" spans="1:8" ht="15" customHeight="1" x14ac:dyDescent="0.25">
      <c r="A73" s="1"/>
      <c r="B73" s="1"/>
      <c r="C73" s="3"/>
      <c r="D73" s="1"/>
      <c r="E73" s="4" t="str">
        <f>IF($A73="","",VLOOKUP(A73,'Product Master'!D:N,10,0))</f>
        <v/>
      </c>
      <c r="F73" s="4" t="str">
        <f t="shared" si="8"/>
        <v/>
      </c>
      <c r="G73" s="4" t="str">
        <f>IF($A73="","",VLOOKUP(A73,'Product Master'!D:N,11,0))</f>
        <v/>
      </c>
      <c r="H73" s="4" t="str">
        <f t="shared" si="10"/>
        <v/>
      </c>
    </row>
    <row r="74" spans="1:8" ht="15" customHeight="1" x14ac:dyDescent="0.25">
      <c r="A74" s="1"/>
      <c r="B74" s="1"/>
      <c r="C74" s="3"/>
      <c r="D74" s="1"/>
      <c r="E74" s="4" t="str">
        <f>IF($A74="","",VLOOKUP(A74,'Product Master'!D:N,10,0))</f>
        <v/>
      </c>
      <c r="F74" s="4" t="str">
        <f t="shared" si="8"/>
        <v/>
      </c>
      <c r="G74" s="4" t="str">
        <f>IF($A74="","",VLOOKUP(A74,'Product Master'!D:N,11,0))</f>
        <v/>
      </c>
      <c r="H74" s="4" t="str">
        <f t="shared" si="10"/>
        <v/>
      </c>
    </row>
    <row r="75" spans="1:8" ht="15" customHeight="1" x14ac:dyDescent="0.25">
      <c r="A75" s="1"/>
      <c r="B75" s="1"/>
      <c r="C75" s="3"/>
      <c r="D75" s="1"/>
      <c r="E75" s="4" t="str">
        <f>IF($A75="","",VLOOKUP(A75,'Product Master'!D:N,10,0))</f>
        <v/>
      </c>
      <c r="F75" s="4" t="str">
        <f t="shared" si="8"/>
        <v/>
      </c>
      <c r="G75" s="4" t="str">
        <f>IF($A75="","",VLOOKUP(A75,'Product Master'!D:N,11,0))</f>
        <v/>
      </c>
      <c r="H75" s="4" t="str">
        <f t="shared" si="10"/>
        <v/>
      </c>
    </row>
    <row r="76" spans="1:8" ht="15" customHeight="1" x14ac:dyDescent="0.25">
      <c r="A76" s="1"/>
      <c r="B76" s="1"/>
      <c r="C76" s="3"/>
      <c r="D76" s="1"/>
      <c r="E76" s="4" t="str">
        <f>IF($A76="","",VLOOKUP(A76,'Product Master'!D:N,10,0))</f>
        <v/>
      </c>
      <c r="F76" s="4" t="str">
        <f t="shared" si="8"/>
        <v/>
      </c>
      <c r="G76" s="4" t="str">
        <f>IF($A76="","",VLOOKUP(A76,'Product Master'!D:N,11,0))</f>
        <v/>
      </c>
      <c r="H76" s="4" t="str">
        <f t="shared" si="10"/>
        <v/>
      </c>
    </row>
    <row r="77" spans="1:8" ht="15" customHeight="1" x14ac:dyDescent="0.25">
      <c r="A77" s="1"/>
      <c r="B77" s="1"/>
      <c r="C77" s="3"/>
      <c r="D77" s="1"/>
      <c r="E77" s="4" t="str">
        <f>IF($A77="","",VLOOKUP(A77,'Product Master'!D:N,10,0))</f>
        <v/>
      </c>
      <c r="F77" s="4" t="str">
        <f t="shared" si="8"/>
        <v/>
      </c>
      <c r="G77" s="4" t="str">
        <f>IF($A77="","",VLOOKUP(A77,'Product Master'!D:N,11,0))</f>
        <v/>
      </c>
      <c r="H77" s="4" t="str">
        <f t="shared" si="10"/>
        <v/>
      </c>
    </row>
    <row r="78" spans="1:8" ht="15" customHeight="1" x14ac:dyDescent="0.25">
      <c r="A78" s="1"/>
      <c r="B78" s="1"/>
      <c r="C78" s="3"/>
      <c r="D78" s="1"/>
      <c r="E78" s="4" t="str">
        <f>IF($A78="","",VLOOKUP(A78,'Product Master'!D:N,10,0))</f>
        <v/>
      </c>
      <c r="F78" s="4" t="str">
        <f t="shared" si="8"/>
        <v/>
      </c>
      <c r="G78" s="4" t="str">
        <f>IF($A78="","",VLOOKUP(A78,'Product Master'!D:N,11,0))</f>
        <v/>
      </c>
      <c r="H78" s="4" t="str">
        <f t="shared" si="10"/>
        <v/>
      </c>
    </row>
    <row r="79" spans="1:8" ht="15" customHeight="1" x14ac:dyDescent="0.25">
      <c r="A79" s="1"/>
      <c r="B79" s="1"/>
      <c r="C79" s="3"/>
      <c r="D79" s="1"/>
      <c r="E79" s="4" t="str">
        <f>IF($A79="","",VLOOKUP(A79,'Product Master'!D:N,10,0))</f>
        <v/>
      </c>
      <c r="F79" s="4" t="str">
        <f t="shared" si="8"/>
        <v/>
      </c>
      <c r="G79" s="4" t="str">
        <f>IF($A79="","",VLOOKUP(A79,'Product Master'!D:N,11,0))</f>
        <v/>
      </c>
      <c r="H79" s="4" t="str">
        <f t="shared" si="10"/>
        <v/>
      </c>
    </row>
    <row r="80" spans="1:8" ht="15" customHeight="1" x14ac:dyDescent="0.25">
      <c r="A80" s="1"/>
      <c r="B80" s="1"/>
      <c r="C80" s="3"/>
      <c r="D80" s="1"/>
      <c r="E80" s="4" t="str">
        <f>IF($A80="","",VLOOKUP(A80,'Product Master'!D:N,10,0))</f>
        <v/>
      </c>
      <c r="F80" s="4" t="str">
        <f t="shared" si="8"/>
        <v/>
      </c>
      <c r="G80" s="4" t="str">
        <f>IF($A80="","",VLOOKUP(A80,'Product Master'!D:N,11,0))</f>
        <v/>
      </c>
      <c r="H80" s="4" t="str">
        <f t="shared" si="10"/>
        <v/>
      </c>
    </row>
    <row r="81" spans="1:8" ht="15" customHeight="1" x14ac:dyDescent="0.25">
      <c r="A81" s="1"/>
      <c r="B81" s="1"/>
      <c r="C81" s="3"/>
      <c r="D81" s="1"/>
      <c r="E81" s="4" t="str">
        <f>IF($A81="","",VLOOKUP(A81,'Product Master'!D:N,10,0))</f>
        <v/>
      </c>
      <c r="F81" s="4" t="str">
        <f t="shared" si="8"/>
        <v/>
      </c>
      <c r="G81" s="4" t="str">
        <f>IF($A81="","",VLOOKUP(A81,'Product Master'!D:N,11,0))</f>
        <v/>
      </c>
      <c r="H81" s="4" t="str">
        <f t="shared" si="10"/>
        <v/>
      </c>
    </row>
    <row r="82" spans="1:8" ht="15" customHeight="1" x14ac:dyDescent="0.25">
      <c r="A82" s="1"/>
      <c r="B82" s="1"/>
      <c r="C82" s="3"/>
      <c r="D82" s="1"/>
      <c r="E82" s="4" t="str">
        <f>IF($A82="","",VLOOKUP(A82,'Product Master'!D:N,10,0))</f>
        <v/>
      </c>
      <c r="F82" s="4" t="str">
        <f t="shared" si="8"/>
        <v/>
      </c>
      <c r="G82" s="4" t="str">
        <f>IF($A82="","",VLOOKUP(A82,'Product Master'!D:N,11,0))</f>
        <v/>
      </c>
      <c r="H82" s="4" t="str">
        <f t="shared" si="10"/>
        <v/>
      </c>
    </row>
    <row r="83" spans="1:8" ht="15" customHeight="1" x14ac:dyDescent="0.25">
      <c r="A83" s="1"/>
      <c r="B83" s="1"/>
      <c r="C83" s="3"/>
      <c r="D83" s="1"/>
      <c r="E83" s="4" t="str">
        <f>IF($A83="","",VLOOKUP(A83,'Product Master'!D:N,10,0))</f>
        <v/>
      </c>
      <c r="F83" s="4" t="str">
        <f t="shared" si="8"/>
        <v/>
      </c>
      <c r="G83" s="4" t="str">
        <f>IF($A83="","",VLOOKUP(A83,'Product Master'!D:N,11,0))</f>
        <v/>
      </c>
      <c r="H83" s="4" t="str">
        <f t="shared" si="10"/>
        <v/>
      </c>
    </row>
    <row r="84" spans="1:8" ht="15" customHeight="1" x14ac:dyDescent="0.25">
      <c r="A84" s="1"/>
      <c r="B84" s="1"/>
      <c r="C84" s="3"/>
      <c r="D84" s="1"/>
      <c r="E84" s="4" t="str">
        <f>IF($A84="","",VLOOKUP(A84,'Product Master'!D:N,10,0))</f>
        <v/>
      </c>
      <c r="F84" s="4" t="str">
        <f t="shared" si="8"/>
        <v/>
      </c>
      <c r="G84" s="4" t="str">
        <f>IF($A84="","",VLOOKUP(A84,'Product Master'!D:N,11,0))</f>
        <v/>
      </c>
      <c r="H84" s="4" t="str">
        <f t="shared" si="10"/>
        <v/>
      </c>
    </row>
    <row r="85" spans="1:8" ht="15" customHeight="1" x14ac:dyDescent="0.25">
      <c r="A85" s="1"/>
      <c r="B85" s="1"/>
      <c r="C85" s="3"/>
      <c r="D85" s="1"/>
      <c r="E85" s="4" t="str">
        <f>IF($A85="","",VLOOKUP(A85,'Product Master'!D:N,10,0))</f>
        <v/>
      </c>
      <c r="F85" s="4" t="str">
        <f t="shared" si="8"/>
        <v/>
      </c>
      <c r="G85" s="4" t="str">
        <f>IF($A85="","",VLOOKUP(A85,'Product Master'!D:N,11,0))</f>
        <v/>
      </c>
      <c r="H85" s="4" t="str">
        <f t="shared" si="10"/>
        <v/>
      </c>
    </row>
    <row r="86" spans="1:8" ht="15" customHeight="1" x14ac:dyDescent="0.25">
      <c r="A86" s="1"/>
      <c r="B86" s="1"/>
      <c r="C86" s="3"/>
      <c r="D86" s="1"/>
      <c r="E86" s="4" t="str">
        <f>IF($A86="","",VLOOKUP(A86,'Product Master'!D:N,10,0))</f>
        <v/>
      </c>
      <c r="F86" s="4" t="str">
        <f t="shared" si="8"/>
        <v/>
      </c>
      <c r="G86" s="4" t="str">
        <f>IF($A86="","",VLOOKUP(A86,'Product Master'!D:N,11,0))</f>
        <v/>
      </c>
      <c r="H86" s="4" t="str">
        <f t="shared" si="10"/>
        <v/>
      </c>
    </row>
    <row r="87" spans="1:8" ht="15" customHeight="1" x14ac:dyDescent="0.25">
      <c r="A87" s="1"/>
      <c r="B87" s="1"/>
      <c r="C87" s="3"/>
      <c r="D87" s="1"/>
      <c r="E87" s="4" t="str">
        <f>IF($A87="","",VLOOKUP(A87,'Product Master'!D:N,10,0))</f>
        <v/>
      </c>
      <c r="F87" s="4" t="str">
        <f t="shared" si="8"/>
        <v/>
      </c>
      <c r="G87" s="4" t="str">
        <f>IF($A87="","",VLOOKUP(A87,'Product Master'!D:N,11,0))</f>
        <v/>
      </c>
      <c r="H87" s="4" t="str">
        <f t="shared" si="10"/>
        <v/>
      </c>
    </row>
    <row r="88" spans="1:8" ht="15" customHeight="1" x14ac:dyDescent="0.25">
      <c r="A88" s="1"/>
      <c r="B88" s="1"/>
      <c r="C88" s="3"/>
      <c r="D88" s="1"/>
      <c r="E88" s="4" t="str">
        <f>IF($A88="","",VLOOKUP(A88,'Product Master'!D:N,10,0))</f>
        <v/>
      </c>
      <c r="F88" s="4" t="str">
        <f t="shared" si="8"/>
        <v/>
      </c>
      <c r="G88" s="4" t="str">
        <f>IF($A88="","",VLOOKUP(A88,'Product Master'!D:N,11,0))</f>
        <v/>
      </c>
      <c r="H88" s="4" t="str">
        <f t="shared" si="10"/>
        <v/>
      </c>
    </row>
    <row r="89" spans="1:8" ht="15" customHeight="1" x14ac:dyDescent="0.25">
      <c r="A89" s="1"/>
      <c r="B89" s="1"/>
      <c r="C89" s="3"/>
      <c r="D89" s="1"/>
      <c r="E89" s="4" t="str">
        <f>IF($A89="","",VLOOKUP(A89,'Product Master'!D:N,10,0))</f>
        <v/>
      </c>
      <c r="F89" s="4" t="str">
        <f t="shared" si="8"/>
        <v/>
      </c>
      <c r="G89" s="4" t="str">
        <f>IF($A89="","",VLOOKUP(A89,'Product Master'!D:N,11,0))</f>
        <v/>
      </c>
      <c r="H89" s="4" t="str">
        <f t="shared" si="10"/>
        <v/>
      </c>
    </row>
    <row r="90" spans="1:8" ht="15" customHeight="1" x14ac:dyDescent="0.25">
      <c r="A90" s="1"/>
      <c r="B90" s="1"/>
      <c r="C90" s="3"/>
      <c r="D90" s="1"/>
      <c r="E90" s="4" t="str">
        <f>IF($A90="","",VLOOKUP(A90,'Product Master'!D:N,10,0))</f>
        <v/>
      </c>
      <c r="F90" s="4" t="str">
        <f t="shared" si="8"/>
        <v/>
      </c>
      <c r="G90" s="4" t="str">
        <f>IF($A90="","",VLOOKUP(A90,'Product Master'!D:N,11,0))</f>
        <v/>
      </c>
      <c r="H90" s="4" t="str">
        <f t="shared" si="10"/>
        <v/>
      </c>
    </row>
    <row r="91" spans="1:8" ht="15" customHeight="1" x14ac:dyDescent="0.25">
      <c r="A91" s="1"/>
      <c r="B91" s="1"/>
      <c r="C91" s="3"/>
      <c r="D91" s="1"/>
      <c r="E91" s="4" t="str">
        <f>IF($A91="","",VLOOKUP(A91,'Product Master'!D:N,10,0))</f>
        <v/>
      </c>
      <c r="F91" s="4" t="str">
        <f t="shared" si="8"/>
        <v/>
      </c>
      <c r="G91" s="4" t="str">
        <f>IF($A91="","",VLOOKUP(A91,'Product Master'!D:N,11,0))</f>
        <v/>
      </c>
      <c r="H91" s="4" t="str">
        <f t="shared" si="10"/>
        <v/>
      </c>
    </row>
    <row r="92" spans="1:8" ht="15" customHeight="1" x14ac:dyDescent="0.25">
      <c r="A92" s="1"/>
      <c r="B92" s="1"/>
      <c r="C92" s="3"/>
      <c r="D92" s="1"/>
      <c r="E92" s="4" t="str">
        <f>IF($A92="","",VLOOKUP(A92,'Product Master'!D:N,10,0))</f>
        <v/>
      </c>
      <c r="F92" s="4" t="str">
        <f t="shared" si="8"/>
        <v/>
      </c>
      <c r="G92" s="4" t="str">
        <f>IF($A92="","",VLOOKUP(A92,'Product Master'!D:N,11,0))</f>
        <v/>
      </c>
      <c r="H92" s="4" t="str">
        <f t="shared" si="10"/>
        <v/>
      </c>
    </row>
    <row r="93" spans="1:8" ht="15" customHeight="1" x14ac:dyDescent="0.25">
      <c r="A93" s="1"/>
      <c r="B93" s="1"/>
      <c r="C93" s="3"/>
      <c r="D93" s="1"/>
      <c r="E93" s="4" t="str">
        <f>IF($A93="","",VLOOKUP(A93,'Product Master'!D:N,10,0))</f>
        <v/>
      </c>
      <c r="F93" s="4" t="str">
        <f t="shared" si="8"/>
        <v/>
      </c>
      <c r="G93" s="4" t="str">
        <f>IF($A93="","",VLOOKUP(A93,'Product Master'!D:N,11,0))</f>
        <v/>
      </c>
      <c r="H93" s="4" t="str">
        <f t="shared" si="10"/>
        <v/>
      </c>
    </row>
    <row r="94" spans="1:8" ht="15" customHeight="1" x14ac:dyDescent="0.25">
      <c r="A94" s="1"/>
      <c r="B94" s="1"/>
      <c r="C94" s="3"/>
      <c r="D94" s="1"/>
      <c r="E94" s="4" t="str">
        <f>IF($A94="","",VLOOKUP(A94,'Product Master'!D:N,10,0))</f>
        <v/>
      </c>
      <c r="F94" s="4" t="str">
        <f t="shared" si="8"/>
        <v/>
      </c>
      <c r="G94" s="4" t="str">
        <f>IF($A94="","",VLOOKUP(A94,'Product Master'!D:N,11,0))</f>
        <v/>
      </c>
      <c r="H94" s="4" t="str">
        <f t="shared" si="10"/>
        <v/>
      </c>
    </row>
    <row r="95" spans="1:8" ht="15" customHeight="1" x14ac:dyDescent="0.25">
      <c r="A95" s="1"/>
      <c r="B95" s="1"/>
      <c r="C95" s="3"/>
      <c r="D95" s="1"/>
      <c r="E95" s="4" t="str">
        <f>IF($A95="","",VLOOKUP(A95,'Product Master'!D:N,10,0))</f>
        <v/>
      </c>
      <c r="F95" s="4" t="str">
        <f t="shared" si="8"/>
        <v/>
      </c>
      <c r="G95" s="4" t="str">
        <f>IF($A95="","",VLOOKUP(A95,'Product Master'!D:N,11,0))</f>
        <v/>
      </c>
      <c r="H95" s="4" t="str">
        <f t="shared" si="10"/>
        <v/>
      </c>
    </row>
    <row r="96" spans="1:8" ht="15" customHeight="1" x14ac:dyDescent="0.25">
      <c r="A96" s="1"/>
      <c r="B96" s="1"/>
      <c r="C96" s="3"/>
      <c r="D96" s="1"/>
      <c r="E96" s="4" t="str">
        <f>IF($A96="","",VLOOKUP(A96,'Product Master'!D:N,10,0))</f>
        <v/>
      </c>
      <c r="F96" s="4" t="str">
        <f t="shared" si="8"/>
        <v/>
      </c>
      <c r="G96" s="4" t="str">
        <f>IF($A96="","",VLOOKUP(A96,'Product Master'!D:N,11,0))</f>
        <v/>
      </c>
      <c r="H96" s="4" t="str">
        <f t="shared" si="10"/>
        <v/>
      </c>
    </row>
    <row r="97" spans="1:8" ht="15" customHeight="1" x14ac:dyDescent="0.25">
      <c r="A97" s="1"/>
      <c r="B97" s="1"/>
      <c r="C97" s="3"/>
      <c r="D97" s="1"/>
      <c r="E97" s="4" t="str">
        <f>IF($A97="","",VLOOKUP(A97,'Product Master'!D:N,10,0))</f>
        <v/>
      </c>
      <c r="F97" s="4" t="str">
        <f t="shared" si="8"/>
        <v/>
      </c>
      <c r="G97" s="4" t="str">
        <f>IF($A97="","",VLOOKUP(A97,'Product Master'!D:N,11,0))</f>
        <v/>
      </c>
      <c r="H97" s="4" t="str">
        <f t="shared" si="10"/>
        <v/>
      </c>
    </row>
    <row r="98" spans="1:8" ht="15" customHeight="1" x14ac:dyDescent="0.25">
      <c r="A98" s="1"/>
      <c r="B98" s="1"/>
      <c r="C98" s="3"/>
      <c r="D98" s="1"/>
      <c r="E98" s="4" t="str">
        <f>IF($A98="","",VLOOKUP(A98,'Product Master'!D:N,10,0))</f>
        <v/>
      </c>
      <c r="F98" s="4" t="str">
        <f t="shared" si="8"/>
        <v/>
      </c>
      <c r="G98" s="4" t="str">
        <f>IF($A98="","",VLOOKUP(A98,'Product Master'!D:N,11,0))</f>
        <v/>
      </c>
      <c r="H98" s="4" t="str">
        <f t="shared" si="10"/>
        <v/>
      </c>
    </row>
    <row r="99" spans="1:8" ht="15" customHeight="1" x14ac:dyDescent="0.25">
      <c r="A99" s="1"/>
      <c r="B99" s="1"/>
      <c r="C99" s="3"/>
      <c r="D99" s="1"/>
      <c r="E99" s="4" t="str">
        <f>IF($A99="","",VLOOKUP(A99,'Product Master'!D:N,10,0))</f>
        <v/>
      </c>
      <c r="F99" s="4" t="str">
        <f t="shared" si="8"/>
        <v/>
      </c>
      <c r="G99" s="4" t="str">
        <f>IF($A99="","",VLOOKUP(A99,'Product Master'!D:N,11,0))</f>
        <v/>
      </c>
      <c r="H99" s="4" t="str">
        <f t="shared" si="10"/>
        <v/>
      </c>
    </row>
    <row r="100" spans="1:8" ht="15" customHeight="1" x14ac:dyDescent="0.25">
      <c r="A100" s="1"/>
      <c r="B100" s="1"/>
      <c r="C100" s="3"/>
      <c r="D100" s="1"/>
      <c r="E100" s="4" t="str">
        <f>IF($A100="","",VLOOKUP(A100,'Product Master'!D:N,10,0))</f>
        <v/>
      </c>
      <c r="F100" s="4" t="str">
        <f t="shared" si="8"/>
        <v/>
      </c>
      <c r="G100" s="4" t="str">
        <f>IF($A100="","",VLOOKUP(A100,'Product Master'!D:N,11,0))</f>
        <v/>
      </c>
      <c r="H100" s="4" t="str">
        <f t="shared" si="10"/>
        <v/>
      </c>
    </row>
  </sheetData>
  <dataValidations count="2">
    <dataValidation type="list" allowBlank="1" showInputMessage="1" showErrorMessage="1" sqref="B2:B100" xr:uid="{6497EDB2-45F7-4D46-8AF5-6667A37BD808}">
      <formula1>"IN,OUT,Opening Stock"</formula1>
    </dataValidation>
    <dataValidation type="date" allowBlank="1" showInputMessage="1" showErrorMessage="1" sqref="C2:C100" xr:uid="{B004827E-E847-48F8-B071-1C205700EF1B}">
      <formula1>44197</formula1>
      <formula2>47484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79948-1082-4428-8F78-223A481F8460}">
  <sheetPr codeName="Sheet3"/>
  <dimension ref="A1:O498"/>
  <sheetViews>
    <sheetView showGridLines="0" tabSelected="1" zoomScaleNormal="100" workbookViewId="0">
      <pane ySplit="1" topLeftCell="A2" activePane="bottomLeft" state="frozen"/>
      <selection activeCell="F5" sqref="F5"/>
      <selection pane="bottomLeft" activeCell="D4" sqref="D4"/>
    </sheetView>
  </sheetViews>
  <sheetFormatPr defaultRowHeight="15" x14ac:dyDescent="0.25"/>
  <cols>
    <col min="1" max="1" width="10.140625" bestFit="1" customWidth="1"/>
    <col min="2" max="2" width="10.42578125" style="13" bestFit="1" customWidth="1"/>
    <col min="3" max="3" width="18.7109375" bestFit="1" customWidth="1"/>
    <col min="4" max="4" width="41.7109375" bestFit="1" customWidth="1"/>
    <col min="5" max="5" width="4.140625" bestFit="1" customWidth="1"/>
    <col min="6" max="6" width="12.42578125" bestFit="1" customWidth="1"/>
    <col min="7" max="7" width="12.140625" bestFit="1" customWidth="1"/>
    <col min="8" max="8" width="14.42578125" bestFit="1" customWidth="1"/>
    <col min="9" max="9" width="11.7109375" bestFit="1" customWidth="1"/>
    <col min="10" max="10" width="13.7109375" bestFit="1" customWidth="1"/>
    <col min="11" max="11" width="11.42578125" bestFit="1" customWidth="1"/>
    <col min="12" max="12" width="18.42578125" bestFit="1" customWidth="1"/>
    <col min="13" max="14" width="14" bestFit="1" customWidth="1"/>
    <col min="15" max="15" width="35.140625" bestFit="1" customWidth="1"/>
  </cols>
  <sheetData>
    <row r="1" spans="1:15" ht="15" customHeight="1" x14ac:dyDescent="0.25">
      <c r="A1" s="2" t="s">
        <v>10</v>
      </c>
      <c r="B1" s="11" t="s">
        <v>2</v>
      </c>
      <c r="C1" s="2" t="s">
        <v>12</v>
      </c>
      <c r="D1" s="2" t="s">
        <v>11</v>
      </c>
      <c r="E1" s="2" t="s">
        <v>3</v>
      </c>
      <c r="F1" s="2" t="s">
        <v>63</v>
      </c>
      <c r="G1" s="2" t="s">
        <v>62</v>
      </c>
      <c r="H1" s="2" t="s">
        <v>16</v>
      </c>
      <c r="I1" s="2" t="s">
        <v>61</v>
      </c>
      <c r="J1" s="2" t="s">
        <v>13</v>
      </c>
      <c r="K1" s="2" t="s">
        <v>57</v>
      </c>
      <c r="L1" s="2" t="s">
        <v>17</v>
      </c>
      <c r="M1" s="2" t="s">
        <v>56</v>
      </c>
      <c r="N1" s="2" t="s">
        <v>14</v>
      </c>
      <c r="O1" s="2" t="s">
        <v>15</v>
      </c>
    </row>
    <row r="2" spans="1:15" ht="15" customHeight="1" x14ac:dyDescent="0.25">
      <c r="A2" s="1" t="s">
        <v>94</v>
      </c>
      <c r="B2" s="12">
        <v>44783</v>
      </c>
      <c r="C2" s="1" t="s">
        <v>18</v>
      </c>
      <c r="D2" s="1" t="s">
        <v>19</v>
      </c>
      <c r="E2" s="1">
        <v>1</v>
      </c>
      <c r="F2" s="1" t="str">
        <f>IF(OR(G2="",H2="",I2=""),F2=" ",IF(MAX(G2,H2,I2)=G2,"USABLE",IF(MAX(G2,H2,I2)=H2,"DAMAGED",IF(MAX(G2,H2,I2)=I2,"REPAIR",""))))</f>
        <v>REPAIR</v>
      </c>
      <c r="G2" s="1">
        <v>0</v>
      </c>
      <c r="H2" s="1">
        <v>0</v>
      </c>
      <c r="I2" s="1">
        <v>1</v>
      </c>
      <c r="J2" s="1" t="s">
        <v>21</v>
      </c>
      <c r="K2" s="1" t="s">
        <v>151</v>
      </c>
      <c r="L2" s="1" t="s">
        <v>22</v>
      </c>
      <c r="M2" s="1">
        <v>130000</v>
      </c>
      <c r="N2" s="1">
        <v>50000</v>
      </c>
      <c r="O2" s="15" t="s">
        <v>20</v>
      </c>
    </row>
    <row r="3" spans="1:15" ht="15" customHeight="1" x14ac:dyDescent="0.25">
      <c r="A3" s="1" t="s">
        <v>95</v>
      </c>
      <c r="B3" s="12">
        <v>44783</v>
      </c>
      <c r="C3" s="1" t="s">
        <v>18</v>
      </c>
      <c r="D3" s="1" t="s">
        <v>23</v>
      </c>
      <c r="E3" s="1">
        <v>1</v>
      </c>
      <c r="F3" s="1" t="str">
        <f t="shared" ref="F3:F66" si="0">IF(OR(G3="",H3="",I3=""),F3=" ",IF(MAX(G3,H3,I3)=G3,"USABLE",IF(MAX(G3,H3,I3)=H3,"DAMAGED",IF(MAX(G3,H3,I3)=I3,"REPAIR",""))))</f>
        <v>DAMAGED</v>
      </c>
      <c r="G3" s="1">
        <v>0</v>
      </c>
      <c r="H3" s="1">
        <v>1</v>
      </c>
      <c r="I3" s="1">
        <v>0</v>
      </c>
      <c r="J3" s="1" t="s">
        <v>21</v>
      </c>
      <c r="K3" s="1" t="s">
        <v>152</v>
      </c>
      <c r="L3" s="1" t="s">
        <v>22</v>
      </c>
      <c r="M3" s="1">
        <v>47000</v>
      </c>
      <c r="N3" s="1">
        <v>7000</v>
      </c>
      <c r="O3" s="15" t="s">
        <v>20</v>
      </c>
    </row>
    <row r="4" spans="1:15" s="20" customFormat="1" ht="15" customHeight="1" x14ac:dyDescent="0.25">
      <c r="A4" s="17" t="s">
        <v>87</v>
      </c>
      <c r="B4" s="18">
        <v>44783</v>
      </c>
      <c r="C4" s="17" t="s">
        <v>18</v>
      </c>
      <c r="D4" s="17" t="s">
        <v>24</v>
      </c>
      <c r="E4" s="17">
        <v>1</v>
      </c>
      <c r="F4" s="1" t="str">
        <f t="shared" si="0"/>
        <v>USABLE</v>
      </c>
      <c r="G4" s="17">
        <v>1</v>
      </c>
      <c r="H4" s="17">
        <v>0</v>
      </c>
      <c r="I4" s="17">
        <v>0</v>
      </c>
      <c r="J4" s="17" t="s">
        <v>21</v>
      </c>
      <c r="K4" s="17" t="s">
        <v>26</v>
      </c>
      <c r="L4" s="17" t="s">
        <v>22</v>
      </c>
      <c r="M4" s="17">
        <v>30000</v>
      </c>
      <c r="N4" s="17">
        <v>15000</v>
      </c>
      <c r="O4" s="19" t="s">
        <v>20</v>
      </c>
    </row>
    <row r="5" spans="1:15" ht="15" customHeight="1" x14ac:dyDescent="0.25">
      <c r="A5" s="1" t="s">
        <v>88</v>
      </c>
      <c r="B5" s="12">
        <v>44783</v>
      </c>
      <c r="C5" s="1" t="s">
        <v>18</v>
      </c>
      <c r="D5" s="1" t="s">
        <v>27</v>
      </c>
      <c r="E5" s="1">
        <v>1</v>
      </c>
      <c r="F5" s="1" t="str">
        <f t="shared" si="0"/>
        <v>USABLE</v>
      </c>
      <c r="G5" s="1">
        <v>1</v>
      </c>
      <c r="H5" s="1">
        <v>0</v>
      </c>
      <c r="I5" s="1">
        <v>0</v>
      </c>
      <c r="J5" s="1" t="s">
        <v>21</v>
      </c>
      <c r="K5" s="1" t="s">
        <v>28</v>
      </c>
      <c r="L5" s="1" t="s">
        <v>22</v>
      </c>
      <c r="M5" s="1">
        <v>40000</v>
      </c>
      <c r="N5" s="1">
        <v>10000</v>
      </c>
      <c r="O5" s="15" t="s">
        <v>20</v>
      </c>
    </row>
    <row r="6" spans="1:15" s="20" customFormat="1" ht="15" customHeight="1" x14ac:dyDescent="0.25">
      <c r="A6" s="17" t="s">
        <v>89</v>
      </c>
      <c r="B6" s="18">
        <v>44783</v>
      </c>
      <c r="C6" s="17" t="s">
        <v>18</v>
      </c>
      <c r="D6" s="17" t="s">
        <v>29</v>
      </c>
      <c r="E6" s="17">
        <v>1</v>
      </c>
      <c r="F6" s="1" t="str">
        <f t="shared" si="0"/>
        <v>USABLE</v>
      </c>
      <c r="G6" s="17">
        <v>1</v>
      </c>
      <c r="H6" s="17">
        <v>0</v>
      </c>
      <c r="I6" s="17">
        <v>0</v>
      </c>
      <c r="J6" s="17" t="s">
        <v>21</v>
      </c>
      <c r="K6" s="17" t="s">
        <v>30</v>
      </c>
      <c r="L6" s="17" t="s">
        <v>22</v>
      </c>
      <c r="M6" s="17">
        <v>30000</v>
      </c>
      <c r="N6" s="17">
        <v>10000</v>
      </c>
      <c r="O6" s="19" t="s">
        <v>20</v>
      </c>
    </row>
    <row r="7" spans="1:15" ht="15" customHeight="1" x14ac:dyDescent="0.25">
      <c r="A7" s="1" t="s">
        <v>90</v>
      </c>
      <c r="B7" s="12">
        <v>44783</v>
      </c>
      <c r="C7" s="1" t="s">
        <v>18</v>
      </c>
      <c r="D7" s="1" t="s">
        <v>31</v>
      </c>
      <c r="E7" s="1">
        <v>2</v>
      </c>
      <c r="F7" s="1" t="str">
        <f t="shared" si="0"/>
        <v>DAMAGED</v>
      </c>
      <c r="G7" s="1">
        <v>0</v>
      </c>
      <c r="H7" s="1">
        <v>2</v>
      </c>
      <c r="I7" s="1">
        <v>0</v>
      </c>
      <c r="J7" s="1" t="s">
        <v>21</v>
      </c>
      <c r="K7" s="1" t="s">
        <v>26</v>
      </c>
      <c r="L7" s="1" t="s">
        <v>22</v>
      </c>
      <c r="M7" s="1">
        <v>40000</v>
      </c>
      <c r="N7" s="1">
        <v>10000</v>
      </c>
      <c r="O7" s="15" t="s">
        <v>20</v>
      </c>
    </row>
    <row r="8" spans="1:15" s="20" customFormat="1" ht="15" customHeight="1" x14ac:dyDescent="0.25">
      <c r="A8" s="17" t="s">
        <v>91</v>
      </c>
      <c r="B8" s="18">
        <v>44783</v>
      </c>
      <c r="C8" s="17" t="s">
        <v>18</v>
      </c>
      <c r="D8" s="17" t="s">
        <v>32</v>
      </c>
      <c r="E8" s="17">
        <v>1</v>
      </c>
      <c r="F8" s="1" t="str">
        <f t="shared" si="0"/>
        <v>DAMAGED</v>
      </c>
      <c r="G8" s="17">
        <v>0</v>
      </c>
      <c r="H8" s="17">
        <v>1</v>
      </c>
      <c r="I8" s="17">
        <v>0</v>
      </c>
      <c r="J8" s="17" t="s">
        <v>21</v>
      </c>
      <c r="K8" s="17" t="s">
        <v>26</v>
      </c>
      <c r="L8" s="17" t="s">
        <v>22</v>
      </c>
      <c r="M8" s="17">
        <v>30000</v>
      </c>
      <c r="N8" s="17">
        <v>10000</v>
      </c>
      <c r="O8" s="19" t="s">
        <v>20</v>
      </c>
    </row>
    <row r="9" spans="1:15" ht="15" customHeight="1" x14ac:dyDescent="0.25">
      <c r="A9" s="1" t="s">
        <v>92</v>
      </c>
      <c r="B9" s="12">
        <v>44783</v>
      </c>
      <c r="C9" s="1" t="s">
        <v>18</v>
      </c>
      <c r="D9" s="1" t="s">
        <v>33</v>
      </c>
      <c r="E9" s="1">
        <v>3</v>
      </c>
      <c r="F9" s="1" t="str">
        <f t="shared" si="0"/>
        <v>USABLE</v>
      </c>
      <c r="G9" s="1">
        <v>2</v>
      </c>
      <c r="H9" s="1">
        <v>0</v>
      </c>
      <c r="I9" s="1">
        <v>1</v>
      </c>
      <c r="J9" s="1" t="s">
        <v>21</v>
      </c>
      <c r="K9" s="1" t="s">
        <v>34</v>
      </c>
      <c r="L9" s="1" t="s">
        <v>22</v>
      </c>
      <c r="M9" s="1">
        <v>40000</v>
      </c>
      <c r="N9" s="1">
        <v>10000</v>
      </c>
      <c r="O9" s="15" t="s">
        <v>20</v>
      </c>
    </row>
    <row r="10" spans="1:15" ht="15" customHeight="1" x14ac:dyDescent="0.25">
      <c r="A10" s="1" t="s">
        <v>93</v>
      </c>
      <c r="B10" s="12">
        <v>44783</v>
      </c>
      <c r="C10" s="1" t="s">
        <v>18</v>
      </c>
      <c r="D10" s="1" t="s">
        <v>35</v>
      </c>
      <c r="E10" s="1">
        <v>1</v>
      </c>
      <c r="F10" s="1" t="str">
        <f t="shared" si="0"/>
        <v>REPAIR</v>
      </c>
      <c r="G10" s="1">
        <v>0</v>
      </c>
      <c r="H10" s="1">
        <v>0</v>
      </c>
      <c r="I10" s="1">
        <v>1</v>
      </c>
      <c r="J10" s="1" t="s">
        <v>21</v>
      </c>
      <c r="K10" s="1" t="s">
        <v>36</v>
      </c>
      <c r="L10" s="1" t="s">
        <v>22</v>
      </c>
      <c r="M10" s="1">
        <v>30000</v>
      </c>
      <c r="N10" s="1">
        <v>10000</v>
      </c>
      <c r="O10" s="15" t="s">
        <v>20</v>
      </c>
    </row>
    <row r="11" spans="1:15" ht="15" customHeight="1" x14ac:dyDescent="0.25">
      <c r="A11" s="1" t="s">
        <v>123</v>
      </c>
      <c r="B11" s="12">
        <v>44783</v>
      </c>
      <c r="C11" s="1" t="s">
        <v>18</v>
      </c>
      <c r="D11" s="1" t="s">
        <v>37</v>
      </c>
      <c r="E11" s="1">
        <v>3</v>
      </c>
      <c r="F11" s="1" t="str">
        <f t="shared" si="0"/>
        <v>DAMAGED</v>
      </c>
      <c r="G11" s="1">
        <v>0</v>
      </c>
      <c r="H11" s="1">
        <v>3</v>
      </c>
      <c r="I11" s="1">
        <v>0</v>
      </c>
      <c r="J11" s="1" t="s">
        <v>21</v>
      </c>
      <c r="K11" s="1" t="s">
        <v>28</v>
      </c>
      <c r="L11" s="1" t="s">
        <v>22</v>
      </c>
      <c r="M11" s="1">
        <v>5000</v>
      </c>
      <c r="N11" s="1">
        <v>100</v>
      </c>
      <c r="O11" s="15" t="s">
        <v>20</v>
      </c>
    </row>
    <row r="12" spans="1:15" ht="15" customHeight="1" x14ac:dyDescent="0.25">
      <c r="A12" s="1" t="s">
        <v>124</v>
      </c>
      <c r="B12" s="12">
        <v>44783</v>
      </c>
      <c r="C12" s="1" t="s">
        <v>18</v>
      </c>
      <c r="D12" s="1" t="s">
        <v>38</v>
      </c>
      <c r="E12" s="1">
        <v>1</v>
      </c>
      <c r="F12" s="1" t="str">
        <f t="shared" si="0"/>
        <v>USABLE</v>
      </c>
      <c r="G12" s="1">
        <v>1</v>
      </c>
      <c r="H12" s="1">
        <v>0</v>
      </c>
      <c r="I12" s="1">
        <v>0</v>
      </c>
      <c r="J12" s="1" t="s">
        <v>21</v>
      </c>
      <c r="K12" s="1" t="s">
        <v>39</v>
      </c>
      <c r="L12" s="1" t="s">
        <v>22</v>
      </c>
      <c r="M12" s="1">
        <v>21000</v>
      </c>
      <c r="N12" s="1">
        <v>5000</v>
      </c>
      <c r="O12" s="15" t="s">
        <v>20</v>
      </c>
    </row>
    <row r="13" spans="1:15" ht="15" customHeight="1" x14ac:dyDescent="0.25">
      <c r="A13" s="1" t="s">
        <v>125</v>
      </c>
      <c r="B13" s="12">
        <v>44783</v>
      </c>
      <c r="C13" s="1" t="s">
        <v>18</v>
      </c>
      <c r="D13" s="1" t="s">
        <v>40</v>
      </c>
      <c r="E13" s="1">
        <v>6</v>
      </c>
      <c r="F13" s="1" t="str">
        <f t="shared" si="0"/>
        <v>DAMAGED</v>
      </c>
      <c r="G13" s="1">
        <v>0</v>
      </c>
      <c r="H13" s="1">
        <v>6</v>
      </c>
      <c r="I13" s="1">
        <v>0</v>
      </c>
      <c r="J13" s="1" t="s">
        <v>41</v>
      </c>
      <c r="K13" s="1" t="s">
        <v>42</v>
      </c>
      <c r="L13" s="1" t="s">
        <v>22</v>
      </c>
      <c r="M13" s="1">
        <v>25000</v>
      </c>
      <c r="N13" s="1">
        <v>2500</v>
      </c>
      <c r="O13" s="15" t="s">
        <v>20</v>
      </c>
    </row>
    <row r="14" spans="1:15" ht="15" customHeight="1" x14ac:dyDescent="0.25">
      <c r="A14" s="1" t="s">
        <v>126</v>
      </c>
      <c r="B14" s="12">
        <v>44783</v>
      </c>
      <c r="C14" s="1" t="s">
        <v>18</v>
      </c>
      <c r="D14" s="1" t="s">
        <v>43</v>
      </c>
      <c r="E14" s="1">
        <v>6</v>
      </c>
      <c r="F14" s="1" t="str">
        <f t="shared" si="0"/>
        <v>DAMAGED</v>
      </c>
      <c r="G14" s="1">
        <v>0</v>
      </c>
      <c r="H14" s="1">
        <v>6</v>
      </c>
      <c r="I14" s="1">
        <v>0</v>
      </c>
      <c r="J14" s="1" t="s">
        <v>41</v>
      </c>
      <c r="K14" s="1" t="s">
        <v>44</v>
      </c>
      <c r="L14" s="1" t="s">
        <v>22</v>
      </c>
      <c r="M14" s="1">
        <v>4000</v>
      </c>
      <c r="N14" s="1">
        <v>100</v>
      </c>
      <c r="O14" s="15" t="s">
        <v>20</v>
      </c>
    </row>
    <row r="15" spans="1:15" ht="15" customHeight="1" x14ac:dyDescent="0.25">
      <c r="A15" s="1" t="s">
        <v>127</v>
      </c>
      <c r="B15" s="12">
        <v>44783</v>
      </c>
      <c r="C15" s="1" t="s">
        <v>18</v>
      </c>
      <c r="D15" s="1" t="s">
        <v>45</v>
      </c>
      <c r="E15" s="1">
        <v>2</v>
      </c>
      <c r="F15" s="1" t="str">
        <f t="shared" si="0"/>
        <v>REPAIR</v>
      </c>
      <c r="G15" s="1">
        <v>0</v>
      </c>
      <c r="H15" s="1">
        <v>0</v>
      </c>
      <c r="I15" s="1">
        <v>2</v>
      </c>
      <c r="J15" s="1" t="s">
        <v>21</v>
      </c>
      <c r="K15" s="1" t="s">
        <v>46</v>
      </c>
      <c r="L15" s="1" t="s">
        <v>22</v>
      </c>
      <c r="M15" s="1">
        <v>30000</v>
      </c>
      <c r="N15" s="1">
        <v>500</v>
      </c>
      <c r="O15" s="15" t="s">
        <v>20</v>
      </c>
    </row>
    <row r="16" spans="1:15" ht="15" customHeight="1" x14ac:dyDescent="0.25">
      <c r="A16" s="1" t="s">
        <v>128</v>
      </c>
      <c r="B16" s="12">
        <v>44783</v>
      </c>
      <c r="C16" s="1" t="s">
        <v>18</v>
      </c>
      <c r="D16" s="1" t="s">
        <v>47</v>
      </c>
      <c r="E16" s="1">
        <v>7</v>
      </c>
      <c r="F16" s="1" t="str">
        <f t="shared" si="0"/>
        <v>DAMAGED</v>
      </c>
      <c r="G16" s="1">
        <v>0</v>
      </c>
      <c r="H16" s="1">
        <v>7</v>
      </c>
      <c r="I16" s="1">
        <v>0</v>
      </c>
      <c r="J16" s="1" t="s">
        <v>21</v>
      </c>
      <c r="K16" s="1" t="s">
        <v>46</v>
      </c>
      <c r="L16" s="1" t="s">
        <v>22</v>
      </c>
      <c r="M16" s="1">
        <v>2500</v>
      </c>
      <c r="N16" s="1">
        <v>100</v>
      </c>
      <c r="O16" s="15" t="s">
        <v>20</v>
      </c>
    </row>
    <row r="17" spans="1:15" ht="15" customHeight="1" x14ac:dyDescent="0.25">
      <c r="A17" s="1" t="s">
        <v>129</v>
      </c>
      <c r="B17" s="12">
        <v>44783</v>
      </c>
      <c r="C17" s="1" t="s">
        <v>18</v>
      </c>
      <c r="D17" s="1" t="s">
        <v>48</v>
      </c>
      <c r="E17" s="1">
        <v>1</v>
      </c>
      <c r="F17" s="1" t="str">
        <f t="shared" si="0"/>
        <v>REPAIR</v>
      </c>
      <c r="G17" s="1">
        <v>0</v>
      </c>
      <c r="H17" s="1">
        <v>0</v>
      </c>
      <c r="I17" s="1">
        <v>1</v>
      </c>
      <c r="J17" s="1" t="s">
        <v>41</v>
      </c>
      <c r="K17" s="1" t="s">
        <v>39</v>
      </c>
      <c r="L17" s="1" t="s">
        <v>22</v>
      </c>
      <c r="M17" s="1">
        <v>90000</v>
      </c>
      <c r="N17" s="1">
        <v>10000</v>
      </c>
      <c r="O17" s="15" t="s">
        <v>20</v>
      </c>
    </row>
    <row r="18" spans="1:15" ht="15" customHeight="1" x14ac:dyDescent="0.25">
      <c r="A18" s="1" t="s">
        <v>130</v>
      </c>
      <c r="B18" s="12">
        <v>44783</v>
      </c>
      <c r="C18" s="1" t="s">
        <v>18</v>
      </c>
      <c r="D18" s="1" t="s">
        <v>49</v>
      </c>
      <c r="E18" s="1">
        <v>3</v>
      </c>
      <c r="F18" s="1" t="str">
        <f t="shared" si="0"/>
        <v>DAMAGED</v>
      </c>
      <c r="G18" s="1">
        <v>0</v>
      </c>
      <c r="H18" s="1">
        <v>3</v>
      </c>
      <c r="I18" s="1">
        <v>0</v>
      </c>
      <c r="J18" s="1" t="s">
        <v>41</v>
      </c>
      <c r="K18" s="1" t="s">
        <v>28</v>
      </c>
      <c r="L18" s="1" t="s">
        <v>22</v>
      </c>
      <c r="M18" s="1">
        <v>5000</v>
      </c>
      <c r="N18" s="1">
        <v>500</v>
      </c>
      <c r="O18" s="15" t="s">
        <v>20</v>
      </c>
    </row>
    <row r="19" spans="1:15" ht="15" customHeight="1" x14ac:dyDescent="0.25">
      <c r="A19" s="1" t="s">
        <v>131</v>
      </c>
      <c r="B19" s="12">
        <v>44783</v>
      </c>
      <c r="C19" s="1" t="s">
        <v>18</v>
      </c>
      <c r="D19" s="1" t="s">
        <v>50</v>
      </c>
      <c r="E19" s="1">
        <v>18</v>
      </c>
      <c r="F19" s="1" t="str">
        <f t="shared" si="0"/>
        <v>REPAIR</v>
      </c>
      <c r="G19" s="1">
        <v>2</v>
      </c>
      <c r="H19" s="1">
        <v>3</v>
      </c>
      <c r="I19" s="1">
        <v>13</v>
      </c>
      <c r="J19" s="1" t="s">
        <v>41</v>
      </c>
      <c r="K19" s="1" t="s">
        <v>39</v>
      </c>
      <c r="L19" s="1" t="s">
        <v>22</v>
      </c>
      <c r="M19" s="1">
        <v>3000</v>
      </c>
      <c r="N19" s="1">
        <v>500</v>
      </c>
      <c r="O19" s="15" t="s">
        <v>20</v>
      </c>
    </row>
    <row r="20" spans="1:15" ht="15" customHeight="1" x14ac:dyDescent="0.25">
      <c r="A20" s="1" t="s">
        <v>132</v>
      </c>
      <c r="B20" s="12">
        <v>44783</v>
      </c>
      <c r="C20" t="s">
        <v>149</v>
      </c>
      <c r="D20" s="1" t="s">
        <v>51</v>
      </c>
      <c r="E20" s="1">
        <v>1</v>
      </c>
      <c r="F20" s="1" t="str">
        <f t="shared" si="0"/>
        <v>USABLE</v>
      </c>
      <c r="G20" s="1">
        <v>1</v>
      </c>
      <c r="H20" s="1">
        <v>0</v>
      </c>
      <c r="I20" s="1">
        <v>0</v>
      </c>
      <c r="J20" s="1" t="s">
        <v>41</v>
      </c>
      <c r="K20" s="1" t="s">
        <v>52</v>
      </c>
      <c r="L20" s="1" t="s">
        <v>22</v>
      </c>
      <c r="M20" s="1">
        <v>12000</v>
      </c>
      <c r="N20" s="1">
        <v>15000</v>
      </c>
      <c r="O20" s="15" t="s">
        <v>20</v>
      </c>
    </row>
    <row r="21" spans="1:15" ht="15" customHeight="1" x14ac:dyDescent="0.25">
      <c r="A21" s="1" t="s">
        <v>133</v>
      </c>
      <c r="B21" s="12">
        <v>44783</v>
      </c>
      <c r="C21" s="1" t="s">
        <v>18</v>
      </c>
      <c r="D21" s="1" t="s">
        <v>96</v>
      </c>
      <c r="E21" s="1">
        <v>2</v>
      </c>
      <c r="F21" s="1" t="str">
        <f t="shared" si="0"/>
        <v>DAMAGED</v>
      </c>
      <c r="G21" s="1">
        <v>0</v>
      </c>
      <c r="H21" s="1">
        <v>2</v>
      </c>
      <c r="I21" s="1">
        <v>0</v>
      </c>
      <c r="J21" s="1" t="s">
        <v>41</v>
      </c>
      <c r="K21" s="1" t="s">
        <v>53</v>
      </c>
      <c r="L21" s="1" t="s">
        <v>22</v>
      </c>
      <c r="M21" s="1">
        <v>65000</v>
      </c>
      <c r="N21" s="1">
        <v>35000</v>
      </c>
      <c r="O21" s="15" t="s">
        <v>20</v>
      </c>
    </row>
    <row r="22" spans="1:15" ht="15" customHeight="1" x14ac:dyDescent="0.25">
      <c r="A22" s="1" t="s">
        <v>134</v>
      </c>
      <c r="B22" s="12">
        <v>44783</v>
      </c>
      <c r="C22" s="1" t="s">
        <v>18</v>
      </c>
      <c r="D22" s="1" t="s">
        <v>150</v>
      </c>
      <c r="E22" s="1">
        <v>19</v>
      </c>
      <c r="F22" s="1" t="str">
        <f t="shared" si="0"/>
        <v>DAMAGED</v>
      </c>
      <c r="G22" s="1">
        <v>0</v>
      </c>
      <c r="H22" s="1">
        <v>19</v>
      </c>
      <c r="I22" s="1">
        <v>0</v>
      </c>
      <c r="J22" s="1" t="s">
        <v>41</v>
      </c>
      <c r="K22" s="1" t="s">
        <v>55</v>
      </c>
      <c r="L22" s="1" t="s">
        <v>22</v>
      </c>
      <c r="M22" s="1">
        <v>10000</v>
      </c>
      <c r="N22" s="1">
        <v>5000</v>
      </c>
      <c r="O22" s="15" t="s">
        <v>20</v>
      </c>
    </row>
    <row r="23" spans="1:15" ht="15" customHeight="1" x14ac:dyDescent="0.25">
      <c r="A23" s="1" t="s">
        <v>135</v>
      </c>
      <c r="B23" s="12">
        <v>44794</v>
      </c>
      <c r="C23" s="1" t="s">
        <v>54</v>
      </c>
      <c r="D23" s="1" t="s">
        <v>97</v>
      </c>
      <c r="E23" s="1">
        <v>33</v>
      </c>
      <c r="F23" s="1" t="str">
        <f t="shared" si="0"/>
        <v>DAMAGED</v>
      </c>
      <c r="G23" s="1">
        <v>5</v>
      </c>
      <c r="H23" s="1">
        <v>28</v>
      </c>
      <c r="I23" s="1">
        <v>0</v>
      </c>
      <c r="J23" s="1" t="s">
        <v>41</v>
      </c>
      <c r="K23" s="1" t="s">
        <v>55</v>
      </c>
      <c r="L23" s="1" t="s">
        <v>22</v>
      </c>
      <c r="M23" s="1">
        <v>20000</v>
      </c>
      <c r="N23" s="1">
        <v>7000</v>
      </c>
      <c r="O23" s="15" t="s">
        <v>20</v>
      </c>
    </row>
    <row r="24" spans="1:15" ht="15" customHeight="1" x14ac:dyDescent="0.25">
      <c r="A24" s="1" t="s">
        <v>136</v>
      </c>
      <c r="B24" s="12">
        <v>44794</v>
      </c>
      <c r="C24" s="1" t="s">
        <v>54</v>
      </c>
      <c r="D24" s="1" t="s">
        <v>98</v>
      </c>
      <c r="E24" s="1">
        <v>4</v>
      </c>
      <c r="F24" s="1" t="str">
        <f t="shared" si="0"/>
        <v>DAMAGED</v>
      </c>
      <c r="G24" s="1">
        <v>0</v>
      </c>
      <c r="H24" s="1">
        <v>4</v>
      </c>
      <c r="I24" s="1">
        <v>0</v>
      </c>
      <c r="J24" s="1" t="s">
        <v>41</v>
      </c>
      <c r="K24" s="1" t="s">
        <v>55</v>
      </c>
      <c r="L24" s="1" t="s">
        <v>22</v>
      </c>
      <c r="M24" s="1">
        <v>2500</v>
      </c>
      <c r="N24" s="1">
        <v>100</v>
      </c>
      <c r="O24" s="15" t="s">
        <v>20</v>
      </c>
    </row>
    <row r="25" spans="1:15" ht="15" customHeight="1" x14ac:dyDescent="0.25">
      <c r="A25" s="1" t="s">
        <v>137</v>
      </c>
      <c r="B25" s="12">
        <v>44794</v>
      </c>
      <c r="C25" s="1" t="s">
        <v>99</v>
      </c>
      <c r="D25" s="1" t="s">
        <v>153</v>
      </c>
      <c r="E25" s="1">
        <v>6</v>
      </c>
      <c r="F25" s="1" t="str">
        <f t="shared" si="0"/>
        <v>DAMAGED</v>
      </c>
      <c r="G25" s="1">
        <v>2</v>
      </c>
      <c r="H25" s="1">
        <v>4</v>
      </c>
      <c r="I25" s="1">
        <v>0</v>
      </c>
      <c r="J25" s="1" t="s">
        <v>41</v>
      </c>
      <c r="K25" s="1" t="s">
        <v>55</v>
      </c>
      <c r="L25" s="1" t="s">
        <v>22</v>
      </c>
      <c r="M25" s="1">
        <v>4000</v>
      </c>
      <c r="N25" s="1">
        <v>1500</v>
      </c>
      <c r="O25" s="1" t="s">
        <v>20</v>
      </c>
    </row>
    <row r="26" spans="1:15" ht="15" customHeight="1" x14ac:dyDescent="0.25">
      <c r="A26" s="1" t="s">
        <v>138</v>
      </c>
      <c r="B26" s="12">
        <v>44794</v>
      </c>
      <c r="C26" s="1" t="s">
        <v>99</v>
      </c>
      <c r="D26" s="1" t="s">
        <v>100</v>
      </c>
      <c r="E26" s="1">
        <v>11</v>
      </c>
      <c r="F26" s="1" t="str">
        <f t="shared" si="0"/>
        <v>USABLE</v>
      </c>
      <c r="G26" s="1">
        <v>7</v>
      </c>
      <c r="H26" s="1">
        <v>4</v>
      </c>
      <c r="I26" s="1">
        <v>0</v>
      </c>
      <c r="J26" s="1" t="s">
        <v>41</v>
      </c>
      <c r="K26" s="1" t="s">
        <v>55</v>
      </c>
      <c r="L26" s="1" t="s">
        <v>22</v>
      </c>
      <c r="M26" s="1">
        <v>3500</v>
      </c>
      <c r="N26" s="1">
        <v>500</v>
      </c>
      <c r="O26" s="15" t="s">
        <v>20</v>
      </c>
    </row>
    <row r="27" spans="1:15" ht="15" customHeight="1" x14ac:dyDescent="0.25">
      <c r="A27" s="1" t="s">
        <v>139</v>
      </c>
      <c r="B27" s="12">
        <v>44794</v>
      </c>
      <c r="C27" s="1" t="s">
        <v>99</v>
      </c>
      <c r="D27" s="1" t="s">
        <v>101</v>
      </c>
      <c r="E27" s="1">
        <v>152</v>
      </c>
      <c r="F27" s="1" t="str">
        <f t="shared" si="0"/>
        <v>USABLE</v>
      </c>
      <c r="G27" s="1">
        <v>152</v>
      </c>
      <c r="H27" s="1">
        <v>0</v>
      </c>
      <c r="I27" s="1">
        <v>0</v>
      </c>
      <c r="J27" s="1" t="s">
        <v>41</v>
      </c>
      <c r="K27" s="1" t="s">
        <v>55</v>
      </c>
      <c r="L27" s="1" t="s">
        <v>22</v>
      </c>
      <c r="M27" s="1">
        <v>500</v>
      </c>
      <c r="N27" s="1">
        <v>300</v>
      </c>
      <c r="O27" s="15" t="s">
        <v>112</v>
      </c>
    </row>
    <row r="28" spans="1:15" ht="15" customHeight="1" x14ac:dyDescent="0.25">
      <c r="A28" s="1" t="s">
        <v>140</v>
      </c>
      <c r="B28" s="12">
        <v>44794</v>
      </c>
      <c r="C28" s="1" t="s">
        <v>18</v>
      </c>
      <c r="D28" s="1" t="s">
        <v>102</v>
      </c>
      <c r="E28" s="1">
        <v>1</v>
      </c>
      <c r="F28" s="1" t="str">
        <f t="shared" si="0"/>
        <v>REPAIR</v>
      </c>
      <c r="G28" s="1">
        <v>0</v>
      </c>
      <c r="H28" s="1">
        <v>0</v>
      </c>
      <c r="I28" s="1">
        <v>1</v>
      </c>
      <c r="J28" s="1" t="s">
        <v>41</v>
      </c>
      <c r="K28" s="1" t="s">
        <v>55</v>
      </c>
      <c r="L28" s="1" t="s">
        <v>22</v>
      </c>
      <c r="M28" s="1">
        <v>3000</v>
      </c>
      <c r="N28" s="1">
        <v>500</v>
      </c>
      <c r="O28" s="15" t="s">
        <v>20</v>
      </c>
    </row>
    <row r="29" spans="1:15" ht="15" customHeight="1" x14ac:dyDescent="0.25">
      <c r="A29" s="1" t="s">
        <v>141</v>
      </c>
      <c r="B29" s="12">
        <v>44794</v>
      </c>
      <c r="C29" s="1" t="s">
        <v>18</v>
      </c>
      <c r="D29" s="1" t="s">
        <v>103</v>
      </c>
      <c r="E29" s="1">
        <v>1</v>
      </c>
      <c r="F29" s="1" t="str">
        <f t="shared" si="0"/>
        <v>DAMAGED</v>
      </c>
      <c r="G29" s="1">
        <v>0</v>
      </c>
      <c r="H29" s="1">
        <v>1</v>
      </c>
      <c r="I29" s="1">
        <v>0</v>
      </c>
      <c r="J29" s="1" t="s">
        <v>41</v>
      </c>
      <c r="K29" s="1" t="s">
        <v>55</v>
      </c>
      <c r="L29" s="1" t="s">
        <v>22</v>
      </c>
      <c r="M29" s="1">
        <v>1500</v>
      </c>
      <c r="N29" s="1">
        <v>100</v>
      </c>
      <c r="O29" s="15" t="s">
        <v>20</v>
      </c>
    </row>
    <row r="30" spans="1:15" ht="15" customHeight="1" x14ac:dyDescent="0.25">
      <c r="A30" s="1" t="s">
        <v>142</v>
      </c>
      <c r="B30" s="12">
        <v>44794</v>
      </c>
      <c r="C30" s="1" t="s">
        <v>54</v>
      </c>
      <c r="D30" s="1" t="s">
        <v>104</v>
      </c>
      <c r="E30" s="1">
        <v>2</v>
      </c>
      <c r="F30" s="1" t="str">
        <f t="shared" si="0"/>
        <v>USABLE</v>
      </c>
      <c r="G30" s="1">
        <v>1</v>
      </c>
      <c r="H30" s="1">
        <v>1</v>
      </c>
      <c r="I30" s="1">
        <v>0</v>
      </c>
      <c r="J30" s="1" t="s">
        <v>41</v>
      </c>
      <c r="K30" s="1" t="s">
        <v>105</v>
      </c>
      <c r="L30" s="1" t="s">
        <v>22</v>
      </c>
      <c r="M30" s="1">
        <v>2000</v>
      </c>
      <c r="N30" s="1">
        <v>700</v>
      </c>
      <c r="O30" s="1" t="s">
        <v>20</v>
      </c>
    </row>
    <row r="31" spans="1:15" ht="15" customHeight="1" x14ac:dyDescent="0.25">
      <c r="A31" s="1" t="s">
        <v>143</v>
      </c>
      <c r="B31" s="12">
        <v>44794</v>
      </c>
      <c r="C31" s="1" t="s">
        <v>18</v>
      </c>
      <c r="D31" s="1" t="s">
        <v>106</v>
      </c>
      <c r="E31" s="1">
        <v>6</v>
      </c>
      <c r="F31" s="1" t="str">
        <f t="shared" si="0"/>
        <v>DAMAGED</v>
      </c>
      <c r="G31" s="1">
        <v>1</v>
      </c>
      <c r="H31" s="1">
        <v>5</v>
      </c>
      <c r="I31" s="1">
        <v>0</v>
      </c>
      <c r="J31" s="1" t="s">
        <v>41</v>
      </c>
      <c r="K31" s="1" t="s">
        <v>107</v>
      </c>
      <c r="L31" s="1" t="s">
        <v>22</v>
      </c>
      <c r="M31" s="1">
        <v>15000</v>
      </c>
      <c r="N31" s="1">
        <v>16000</v>
      </c>
      <c r="O31" s="1" t="s">
        <v>20</v>
      </c>
    </row>
    <row r="32" spans="1:15" ht="15" customHeight="1" x14ac:dyDescent="0.25">
      <c r="A32" s="1" t="s">
        <v>144</v>
      </c>
      <c r="B32" s="12">
        <v>44794</v>
      </c>
      <c r="C32" s="1" t="s">
        <v>18</v>
      </c>
      <c r="D32" s="1" t="s">
        <v>108</v>
      </c>
      <c r="E32" s="1">
        <v>7</v>
      </c>
      <c r="F32" s="1" t="str">
        <f t="shared" si="0"/>
        <v>DAMAGED</v>
      </c>
      <c r="G32" s="1">
        <v>0</v>
      </c>
      <c r="H32" s="1">
        <v>7</v>
      </c>
      <c r="I32" s="1">
        <v>0</v>
      </c>
      <c r="J32" s="1" t="s">
        <v>41</v>
      </c>
      <c r="K32" s="1" t="s">
        <v>109</v>
      </c>
      <c r="L32" s="1" t="s">
        <v>22</v>
      </c>
      <c r="M32" s="1">
        <v>1500</v>
      </c>
      <c r="N32" s="1">
        <v>300</v>
      </c>
      <c r="O32" s="1" t="s">
        <v>20</v>
      </c>
    </row>
    <row r="33" spans="1:15" ht="15" customHeight="1" x14ac:dyDescent="0.25">
      <c r="A33" s="1" t="s">
        <v>145</v>
      </c>
      <c r="B33" s="12">
        <v>44794</v>
      </c>
      <c r="C33" s="1" t="s">
        <v>18</v>
      </c>
      <c r="D33" s="1" t="s">
        <v>110</v>
      </c>
      <c r="E33" s="1">
        <v>3</v>
      </c>
      <c r="F33" s="1" t="str">
        <f t="shared" si="0"/>
        <v>USABLE</v>
      </c>
      <c r="G33" s="1">
        <v>3</v>
      </c>
      <c r="H33" s="1">
        <v>0</v>
      </c>
      <c r="I33" s="1">
        <v>0</v>
      </c>
      <c r="J33" s="1" t="s">
        <v>41</v>
      </c>
      <c r="K33" s="1" t="s">
        <v>52</v>
      </c>
      <c r="L33" s="1" t="s">
        <v>22</v>
      </c>
      <c r="M33" s="1">
        <v>15000</v>
      </c>
      <c r="N33" s="1">
        <v>7500</v>
      </c>
      <c r="O33" s="1" t="s">
        <v>20</v>
      </c>
    </row>
    <row r="34" spans="1:15" ht="15" customHeight="1" x14ac:dyDescent="0.25">
      <c r="A34" s="1" t="s">
        <v>146</v>
      </c>
      <c r="B34" s="12">
        <v>44794</v>
      </c>
      <c r="C34" s="1" t="s">
        <v>18</v>
      </c>
      <c r="D34" s="1" t="s">
        <v>111</v>
      </c>
      <c r="E34" s="1">
        <v>6</v>
      </c>
      <c r="F34" s="1" t="str">
        <f t="shared" si="0"/>
        <v>USABLE</v>
      </c>
      <c r="G34" s="1">
        <v>6</v>
      </c>
      <c r="H34" s="1">
        <v>0</v>
      </c>
      <c r="I34" s="1">
        <v>0</v>
      </c>
      <c r="J34" s="1" t="s">
        <v>41</v>
      </c>
      <c r="K34" s="1" t="s">
        <v>52</v>
      </c>
      <c r="L34" s="1" t="s">
        <v>22</v>
      </c>
      <c r="M34" s="1">
        <v>4000</v>
      </c>
      <c r="N34" s="1">
        <v>100</v>
      </c>
      <c r="O34" s="1" t="s">
        <v>20</v>
      </c>
    </row>
    <row r="35" spans="1:15" ht="15" customHeight="1" x14ac:dyDescent="0.25">
      <c r="A35" s="1" t="s">
        <v>147</v>
      </c>
      <c r="B35" s="12">
        <v>44783</v>
      </c>
      <c r="C35" s="1" t="s">
        <v>18</v>
      </c>
      <c r="D35" s="1" t="s">
        <v>113</v>
      </c>
      <c r="E35" s="1">
        <v>5</v>
      </c>
      <c r="F35" s="1" t="str">
        <f t="shared" si="0"/>
        <v>DAMAGED</v>
      </c>
      <c r="G35" s="1">
        <v>1</v>
      </c>
      <c r="H35" s="1">
        <v>4</v>
      </c>
      <c r="I35" s="1">
        <v>0</v>
      </c>
      <c r="J35" s="1" t="s">
        <v>41</v>
      </c>
      <c r="K35" s="1" t="s">
        <v>53</v>
      </c>
      <c r="L35" s="1" t="s">
        <v>22</v>
      </c>
      <c r="M35" s="1">
        <v>65000</v>
      </c>
      <c r="N35" s="1">
        <v>35000</v>
      </c>
      <c r="O35" s="1"/>
    </row>
    <row r="36" spans="1:15" ht="15" customHeight="1" x14ac:dyDescent="0.25">
      <c r="A36" s="1" t="s">
        <v>148</v>
      </c>
      <c r="B36" s="12">
        <v>44783</v>
      </c>
      <c r="C36" s="1" t="s">
        <v>18</v>
      </c>
      <c r="D36" s="1" t="s">
        <v>114</v>
      </c>
      <c r="E36" s="1">
        <v>2</v>
      </c>
      <c r="F36" s="1" t="str">
        <f>IF(OR(G36="",H36="",I36=""),F36="",IF(MAX(G36,H36,I36)=G36,"USABLE",IF(MAX(G36,H36,I36)=H36,"DAMAGED",IF(MAX(G36,H36,I36)=I36,"REPAIR",""))))</f>
        <v>REPAIR</v>
      </c>
      <c r="G36" s="1">
        <v>0</v>
      </c>
      <c r="H36" s="1">
        <v>0</v>
      </c>
      <c r="I36" s="1">
        <v>2</v>
      </c>
      <c r="J36" s="1" t="s">
        <v>41</v>
      </c>
      <c r="K36" s="1" t="s">
        <v>53</v>
      </c>
      <c r="L36" s="1" t="s">
        <v>22</v>
      </c>
      <c r="M36" s="1">
        <v>65000</v>
      </c>
      <c r="N36" s="1">
        <v>35000</v>
      </c>
      <c r="O36" s="1"/>
    </row>
    <row r="37" spans="1:15" ht="15" customHeight="1" x14ac:dyDescent="0.25">
      <c r="A37" s="1"/>
      <c r="B37" s="12"/>
      <c r="C37" s="1"/>
      <c r="D37" s="1"/>
      <c r="E37" s="1"/>
      <c r="F37" s="1">
        <f ca="1">IF(OR(G37="",H37="",I37=""),F37=" ",IF(MAX(G37,H37,I37)=G37,"USABLE",IF(MAX(G37,H37,I37)=H37,"DAMAGED",IF(MAX(G37,H37,I37)=I37,"REPAIR",""))))</f>
        <v>0</v>
      </c>
      <c r="G37" s="1"/>
      <c r="H37" s="1"/>
      <c r="I37" s="1"/>
      <c r="J37" s="1"/>
      <c r="K37" s="1"/>
      <c r="L37" s="1"/>
      <c r="M37" s="1"/>
      <c r="N37" s="1"/>
      <c r="O37" s="1"/>
    </row>
    <row r="38" spans="1:15" ht="15" customHeight="1" x14ac:dyDescent="0.25">
      <c r="A38" s="1"/>
      <c r="B38" s="12"/>
      <c r="C38" s="1"/>
      <c r="D38" s="1"/>
      <c r="E38" s="1"/>
      <c r="F38" s="1">
        <f t="shared" ref="F38:F101" ca="1" si="1">IF(OR(G38="",H38="",I38=""),F38=" ",IF(MAX(G38,H38,I38)=G38,"USABLE",IF(MAX(G38,H38,I38)=H38,"DAMAGED",IF(MAX(G38,H38,I38)=I38,"REPAIR",""))))</f>
        <v>0</v>
      </c>
      <c r="G38" s="1"/>
      <c r="H38" s="1"/>
      <c r="I38" s="1"/>
      <c r="J38" s="1"/>
      <c r="K38" s="1"/>
      <c r="L38" s="1"/>
      <c r="M38" s="1"/>
      <c r="N38" s="1"/>
      <c r="O38" s="1"/>
    </row>
    <row r="39" spans="1:15" ht="15" customHeight="1" x14ac:dyDescent="0.25">
      <c r="A39" s="1"/>
      <c r="B39" s="12"/>
      <c r="C39" s="1"/>
      <c r="D39" s="1"/>
      <c r="E39" s="1"/>
      <c r="F39" s="1">
        <f t="shared" ca="1" si="1"/>
        <v>0</v>
      </c>
      <c r="G39" s="1"/>
      <c r="H39" s="1"/>
      <c r="I39" s="1"/>
      <c r="J39" s="1"/>
      <c r="K39" s="1"/>
      <c r="L39" s="1"/>
      <c r="M39" s="1"/>
      <c r="N39" s="1"/>
      <c r="O39" s="1"/>
    </row>
    <row r="40" spans="1:15" ht="15" customHeight="1" x14ac:dyDescent="0.25">
      <c r="A40" s="1"/>
      <c r="B40" s="12"/>
      <c r="C40" s="1"/>
      <c r="D40" s="1"/>
      <c r="E40" s="1"/>
      <c r="F40" s="1">
        <f t="shared" ca="1" si="1"/>
        <v>0</v>
      </c>
      <c r="G40" s="1"/>
      <c r="H40" s="1"/>
      <c r="I40" s="1"/>
      <c r="J40" s="1"/>
      <c r="K40" s="1"/>
      <c r="L40" s="1"/>
      <c r="M40" s="1"/>
      <c r="N40" s="1"/>
      <c r="O40" s="1"/>
    </row>
    <row r="41" spans="1:15" ht="15" customHeight="1" x14ac:dyDescent="0.25">
      <c r="A41" s="1"/>
      <c r="B41" s="12"/>
      <c r="C41" s="1"/>
      <c r="D41" s="1"/>
      <c r="E41" s="1"/>
      <c r="F41" s="1">
        <f t="shared" ca="1" si="1"/>
        <v>0</v>
      </c>
      <c r="G41" s="1"/>
      <c r="H41" s="1"/>
      <c r="I41" s="1"/>
      <c r="J41" s="1"/>
      <c r="K41" s="1"/>
      <c r="L41" s="1"/>
      <c r="M41" s="1"/>
      <c r="N41" s="1"/>
      <c r="O41" s="1"/>
    </row>
    <row r="42" spans="1:15" ht="15" customHeight="1" x14ac:dyDescent="0.25">
      <c r="A42" s="1"/>
      <c r="B42" s="12"/>
      <c r="C42" s="1"/>
      <c r="D42" s="1"/>
      <c r="E42" s="1"/>
      <c r="F42" s="1">
        <f t="shared" ca="1" si="1"/>
        <v>0</v>
      </c>
      <c r="G42" s="1"/>
      <c r="H42" s="1"/>
      <c r="I42" s="1"/>
      <c r="J42" s="1"/>
      <c r="K42" s="1"/>
      <c r="L42" s="1"/>
      <c r="M42" s="1"/>
      <c r="N42" s="1"/>
      <c r="O42" s="1"/>
    </row>
    <row r="43" spans="1:15" ht="15" customHeight="1" x14ac:dyDescent="0.25">
      <c r="A43" s="1"/>
      <c r="B43" s="12"/>
      <c r="C43" s="1"/>
      <c r="D43" s="1"/>
      <c r="E43" s="1"/>
      <c r="F43" s="1">
        <f t="shared" ca="1" si="1"/>
        <v>0</v>
      </c>
      <c r="G43" s="1"/>
      <c r="H43" s="1"/>
      <c r="I43" s="1"/>
      <c r="J43" s="1"/>
      <c r="K43" s="1"/>
      <c r="L43" s="1"/>
      <c r="M43" s="1"/>
      <c r="N43" s="1"/>
      <c r="O43" s="1"/>
    </row>
    <row r="44" spans="1:15" ht="15" customHeight="1" x14ac:dyDescent="0.25">
      <c r="A44" s="1"/>
      <c r="B44" s="12"/>
      <c r="C44" s="1"/>
      <c r="D44" s="1"/>
      <c r="E44" s="1"/>
      <c r="F44" s="1">
        <f t="shared" ca="1" si="1"/>
        <v>0</v>
      </c>
      <c r="G44" s="1"/>
      <c r="H44" s="1"/>
      <c r="I44" s="1"/>
      <c r="J44" s="1"/>
      <c r="K44" s="1"/>
      <c r="L44" s="1"/>
      <c r="M44" s="1"/>
      <c r="N44" s="1"/>
      <c r="O44" s="1"/>
    </row>
    <row r="45" spans="1:15" ht="15" customHeight="1" x14ac:dyDescent="0.25">
      <c r="A45" s="1"/>
      <c r="B45" s="12"/>
      <c r="C45" s="1"/>
      <c r="D45" s="1"/>
      <c r="E45" s="1"/>
      <c r="F45" s="1">
        <f t="shared" ca="1" si="1"/>
        <v>0</v>
      </c>
      <c r="G45" s="1"/>
      <c r="H45" s="1"/>
      <c r="I45" s="1"/>
      <c r="J45" s="1"/>
      <c r="K45" s="1"/>
      <c r="L45" s="1"/>
      <c r="M45" s="1"/>
      <c r="N45" s="1"/>
      <c r="O45" s="1"/>
    </row>
    <row r="46" spans="1:15" ht="15" customHeight="1" x14ac:dyDescent="0.25">
      <c r="A46" s="1"/>
      <c r="B46" s="12"/>
      <c r="C46" s="1"/>
      <c r="D46" s="1"/>
      <c r="E46" s="1"/>
      <c r="F46" s="1">
        <f t="shared" ca="1" si="1"/>
        <v>0</v>
      </c>
      <c r="G46" s="1"/>
      <c r="H46" s="1"/>
      <c r="I46" s="1"/>
      <c r="J46" s="1"/>
      <c r="K46" s="1"/>
      <c r="L46" s="1"/>
      <c r="M46" s="1"/>
      <c r="N46" s="1"/>
      <c r="O46" s="1"/>
    </row>
    <row r="47" spans="1:15" ht="15" customHeight="1" x14ac:dyDescent="0.25">
      <c r="A47" s="1"/>
      <c r="B47" s="12"/>
      <c r="C47" s="1"/>
      <c r="D47" s="1"/>
      <c r="E47" s="1"/>
      <c r="F47" s="1">
        <f t="shared" ca="1" si="1"/>
        <v>0</v>
      </c>
      <c r="G47" s="1"/>
      <c r="H47" s="1"/>
      <c r="I47" s="1"/>
      <c r="J47" s="1"/>
      <c r="K47" s="1"/>
      <c r="L47" s="1"/>
      <c r="M47" s="1"/>
      <c r="N47" s="1"/>
      <c r="O47" s="1"/>
    </row>
    <row r="48" spans="1:15" ht="15" customHeight="1" x14ac:dyDescent="0.25">
      <c r="A48" s="1"/>
      <c r="B48" s="12"/>
      <c r="C48" s="1"/>
      <c r="D48" s="1"/>
      <c r="E48" s="1"/>
      <c r="F48" s="1">
        <f t="shared" ca="1" si="1"/>
        <v>0</v>
      </c>
      <c r="G48" s="1"/>
      <c r="H48" s="1"/>
      <c r="I48" s="1"/>
      <c r="J48" s="1"/>
      <c r="K48" s="1"/>
      <c r="L48" s="1"/>
      <c r="M48" s="1"/>
      <c r="N48" s="1"/>
      <c r="O48" s="1"/>
    </row>
    <row r="49" spans="1:15" ht="15" customHeight="1" x14ac:dyDescent="0.25">
      <c r="A49" s="1"/>
      <c r="B49" s="12"/>
      <c r="C49" s="1"/>
      <c r="D49" s="1"/>
      <c r="E49" s="1"/>
      <c r="F49" s="1">
        <f t="shared" ca="1" si="1"/>
        <v>0</v>
      </c>
      <c r="G49" s="1"/>
      <c r="H49" s="1"/>
      <c r="I49" s="1"/>
      <c r="J49" s="1"/>
      <c r="K49" s="1"/>
      <c r="L49" s="1"/>
      <c r="M49" s="1"/>
      <c r="N49" s="1"/>
      <c r="O49" s="1"/>
    </row>
    <row r="50" spans="1:15" ht="15" customHeight="1" x14ac:dyDescent="0.25">
      <c r="A50" s="1"/>
      <c r="B50" s="12"/>
      <c r="C50" s="1"/>
      <c r="D50" s="1"/>
      <c r="E50" s="1"/>
      <c r="F50" s="1">
        <f t="shared" ca="1" si="1"/>
        <v>0</v>
      </c>
      <c r="G50" s="1"/>
      <c r="H50" s="1"/>
      <c r="I50" s="1"/>
      <c r="J50" s="1"/>
      <c r="K50" s="1"/>
      <c r="L50" s="1"/>
      <c r="M50" s="1"/>
      <c r="N50" s="1"/>
      <c r="O50" s="1"/>
    </row>
    <row r="51" spans="1:15" ht="15" customHeight="1" x14ac:dyDescent="0.25">
      <c r="A51" s="1"/>
      <c r="B51" s="12"/>
      <c r="C51" s="1"/>
      <c r="D51" s="1"/>
      <c r="E51" s="1"/>
      <c r="F51" s="1">
        <f t="shared" ca="1" si="1"/>
        <v>0</v>
      </c>
      <c r="G51" s="1"/>
      <c r="H51" s="1"/>
      <c r="I51" s="1"/>
      <c r="J51" s="1"/>
      <c r="K51" s="1"/>
      <c r="L51" s="1"/>
      <c r="M51" s="1"/>
      <c r="N51" s="1"/>
      <c r="O51" s="1"/>
    </row>
    <row r="52" spans="1:15" ht="15" customHeight="1" x14ac:dyDescent="0.25">
      <c r="A52" s="1"/>
      <c r="B52" s="12"/>
      <c r="C52" s="1"/>
      <c r="D52" s="1"/>
      <c r="E52" s="1"/>
      <c r="F52" s="1">
        <f t="shared" ca="1" si="1"/>
        <v>0</v>
      </c>
      <c r="G52" s="1"/>
      <c r="H52" s="1"/>
      <c r="I52" s="1"/>
      <c r="J52" s="1"/>
      <c r="K52" s="1"/>
      <c r="L52" s="1"/>
      <c r="M52" s="1"/>
      <c r="N52" s="1"/>
      <c r="O52" s="1"/>
    </row>
    <row r="53" spans="1:15" ht="15" customHeight="1" x14ac:dyDescent="0.25">
      <c r="A53" s="1"/>
      <c r="B53" s="12"/>
      <c r="C53" s="1"/>
      <c r="D53" s="1"/>
      <c r="E53" s="1"/>
      <c r="F53" s="1">
        <f t="shared" ca="1" si="1"/>
        <v>0</v>
      </c>
      <c r="G53" s="1"/>
      <c r="H53" s="1"/>
      <c r="I53" s="1"/>
      <c r="J53" s="1"/>
      <c r="K53" s="1"/>
      <c r="L53" s="1"/>
      <c r="M53" s="1"/>
      <c r="N53" s="1"/>
      <c r="O53" s="1"/>
    </row>
    <row r="54" spans="1:15" ht="15" customHeight="1" x14ac:dyDescent="0.25">
      <c r="A54" s="1"/>
      <c r="B54" s="12"/>
      <c r="C54" s="1"/>
      <c r="D54" s="1"/>
      <c r="E54" s="1"/>
      <c r="F54" s="1">
        <f t="shared" ca="1" si="1"/>
        <v>0</v>
      </c>
      <c r="G54" s="1"/>
      <c r="H54" s="1"/>
      <c r="I54" s="1"/>
      <c r="J54" s="1"/>
      <c r="K54" s="1"/>
      <c r="L54" s="1"/>
      <c r="M54" s="1"/>
      <c r="N54" s="1"/>
      <c r="O54" s="1"/>
    </row>
    <row r="55" spans="1:15" ht="15" customHeight="1" x14ac:dyDescent="0.25">
      <c r="A55" s="1"/>
      <c r="B55" s="12"/>
      <c r="C55" s="1"/>
      <c r="D55" s="1"/>
      <c r="E55" s="1"/>
      <c r="F55" s="1">
        <f t="shared" ca="1" si="1"/>
        <v>0</v>
      </c>
      <c r="G55" s="1"/>
      <c r="H55" s="1"/>
      <c r="I55" s="1"/>
      <c r="J55" s="1"/>
      <c r="K55" s="1"/>
      <c r="L55" s="1"/>
      <c r="M55" s="1"/>
      <c r="N55" s="1"/>
      <c r="O55" s="1"/>
    </row>
    <row r="56" spans="1:15" ht="15" customHeight="1" x14ac:dyDescent="0.25">
      <c r="A56" s="1"/>
      <c r="B56" s="12"/>
      <c r="C56" s="1"/>
      <c r="D56" s="1"/>
      <c r="E56" s="1"/>
      <c r="F56" s="1">
        <f t="shared" ca="1" si="1"/>
        <v>0</v>
      </c>
      <c r="G56" s="1"/>
      <c r="H56" s="1"/>
      <c r="I56" s="1"/>
      <c r="J56" s="1"/>
      <c r="K56" s="1"/>
      <c r="L56" s="1"/>
      <c r="M56" s="1"/>
      <c r="N56" s="1"/>
      <c r="O56" s="1"/>
    </row>
    <row r="57" spans="1:15" ht="15" customHeight="1" x14ac:dyDescent="0.25">
      <c r="A57" s="1"/>
      <c r="B57" s="12"/>
      <c r="C57" s="1"/>
      <c r="D57" s="1"/>
      <c r="E57" s="1"/>
      <c r="F57" s="1">
        <f t="shared" ca="1" si="1"/>
        <v>0</v>
      </c>
      <c r="G57" s="1"/>
      <c r="H57" s="1"/>
      <c r="I57" s="1"/>
      <c r="J57" s="1"/>
      <c r="K57" s="1"/>
      <c r="L57" s="1"/>
      <c r="M57" s="1"/>
      <c r="N57" s="1"/>
      <c r="O57" s="1"/>
    </row>
    <row r="58" spans="1:15" ht="15" customHeight="1" x14ac:dyDescent="0.25">
      <c r="A58" s="1"/>
      <c r="B58" s="12"/>
      <c r="C58" s="1"/>
      <c r="D58" s="1"/>
      <c r="E58" s="1"/>
      <c r="F58" s="1">
        <f t="shared" ca="1" si="1"/>
        <v>0</v>
      </c>
      <c r="G58" s="1"/>
      <c r="H58" s="1"/>
      <c r="I58" s="1"/>
      <c r="J58" s="1"/>
      <c r="K58" s="1"/>
      <c r="L58" s="1"/>
      <c r="M58" s="1"/>
      <c r="N58" s="1"/>
      <c r="O58" s="1"/>
    </row>
    <row r="59" spans="1:15" ht="15" customHeight="1" x14ac:dyDescent="0.25">
      <c r="A59" s="1"/>
      <c r="B59" s="12"/>
      <c r="C59" s="1"/>
      <c r="D59" s="1"/>
      <c r="E59" s="1"/>
      <c r="F59" s="1">
        <f t="shared" ca="1" si="1"/>
        <v>0</v>
      </c>
      <c r="G59" s="1"/>
      <c r="H59" s="1"/>
      <c r="I59" s="1"/>
      <c r="J59" s="1"/>
      <c r="K59" s="1"/>
      <c r="L59" s="1"/>
      <c r="M59" s="1"/>
      <c r="N59" s="1"/>
      <c r="O59" s="1"/>
    </row>
    <row r="60" spans="1:15" ht="15" customHeight="1" x14ac:dyDescent="0.25">
      <c r="A60" s="1"/>
      <c r="B60" s="12"/>
      <c r="C60" s="1"/>
      <c r="D60" s="1"/>
      <c r="E60" s="1"/>
      <c r="F60" s="1">
        <f t="shared" ca="1" si="1"/>
        <v>0</v>
      </c>
      <c r="G60" s="1"/>
      <c r="H60" s="1"/>
      <c r="I60" s="1"/>
      <c r="J60" s="1"/>
      <c r="K60" s="1"/>
      <c r="L60" s="1"/>
      <c r="M60" s="1"/>
      <c r="N60" s="1"/>
      <c r="O60" s="1"/>
    </row>
    <row r="61" spans="1:15" ht="15" customHeight="1" x14ac:dyDescent="0.25">
      <c r="A61" s="1"/>
      <c r="B61" s="12"/>
      <c r="C61" s="1"/>
      <c r="D61" s="1"/>
      <c r="E61" s="1"/>
      <c r="F61" s="1">
        <f t="shared" ca="1" si="1"/>
        <v>0</v>
      </c>
      <c r="G61" s="1"/>
      <c r="H61" s="1"/>
      <c r="I61" s="1"/>
      <c r="J61" s="1"/>
      <c r="K61" s="1"/>
      <c r="L61" s="1"/>
      <c r="M61" s="1"/>
      <c r="N61" s="1"/>
      <c r="O61" s="1"/>
    </row>
    <row r="62" spans="1:15" ht="15" customHeight="1" x14ac:dyDescent="0.25">
      <c r="A62" s="1"/>
      <c r="B62" s="12"/>
      <c r="C62" s="1"/>
      <c r="D62" s="1"/>
      <c r="E62" s="1"/>
      <c r="F62" s="1">
        <f t="shared" ca="1" si="1"/>
        <v>0</v>
      </c>
      <c r="G62" s="1"/>
      <c r="H62" s="1"/>
      <c r="I62" s="1"/>
      <c r="J62" s="1"/>
      <c r="K62" s="1"/>
      <c r="L62" s="1"/>
      <c r="M62" s="1"/>
      <c r="N62" s="1"/>
      <c r="O62" s="1"/>
    </row>
    <row r="63" spans="1:15" ht="15" customHeight="1" x14ac:dyDescent="0.25">
      <c r="A63" s="1"/>
      <c r="B63" s="12"/>
      <c r="C63" s="1"/>
      <c r="D63" s="1"/>
      <c r="E63" s="1"/>
      <c r="F63" s="1">
        <f t="shared" ca="1" si="1"/>
        <v>0</v>
      </c>
      <c r="G63" s="1"/>
      <c r="H63" s="1"/>
      <c r="I63" s="1"/>
      <c r="J63" s="1"/>
      <c r="K63" s="1"/>
      <c r="L63" s="1"/>
      <c r="M63" s="1"/>
      <c r="N63" s="1"/>
      <c r="O63" s="1"/>
    </row>
    <row r="64" spans="1:15" ht="15" customHeight="1" x14ac:dyDescent="0.25">
      <c r="A64" s="1"/>
      <c r="B64" s="12"/>
      <c r="C64" s="1"/>
      <c r="D64" s="1"/>
      <c r="E64" s="1"/>
      <c r="F64" s="1">
        <f t="shared" ca="1" si="1"/>
        <v>0</v>
      </c>
      <c r="G64" s="1"/>
      <c r="H64" s="1"/>
      <c r="I64" s="1"/>
      <c r="J64" s="1"/>
      <c r="K64" s="1"/>
      <c r="L64" s="1"/>
      <c r="M64" s="1"/>
      <c r="N64" s="1"/>
      <c r="O64" s="1"/>
    </row>
    <row r="65" spans="1:15" ht="15" customHeight="1" x14ac:dyDescent="0.25">
      <c r="A65" s="1"/>
      <c r="B65" s="12"/>
      <c r="C65" s="1"/>
      <c r="D65" s="1"/>
      <c r="E65" s="1"/>
      <c r="F65" s="1">
        <f t="shared" ca="1" si="1"/>
        <v>0</v>
      </c>
      <c r="G65" s="1"/>
      <c r="H65" s="1"/>
      <c r="I65" s="1"/>
      <c r="J65" s="1"/>
      <c r="K65" s="1"/>
      <c r="L65" s="1"/>
      <c r="M65" s="1"/>
      <c r="N65" s="1"/>
      <c r="O65" s="1"/>
    </row>
    <row r="66" spans="1:15" ht="15" customHeight="1" x14ac:dyDescent="0.25">
      <c r="A66" s="1"/>
      <c r="B66" s="12"/>
      <c r="C66" s="1"/>
      <c r="D66" s="1"/>
      <c r="E66" s="1"/>
      <c r="F66" s="1">
        <f t="shared" ca="1" si="1"/>
        <v>0</v>
      </c>
      <c r="G66" s="1"/>
      <c r="H66" s="1"/>
      <c r="I66" s="1"/>
      <c r="J66" s="1"/>
      <c r="K66" s="1"/>
      <c r="L66" s="1"/>
      <c r="M66" s="1"/>
      <c r="N66" s="1"/>
      <c r="O66" s="1"/>
    </row>
    <row r="67" spans="1:15" ht="15" customHeight="1" x14ac:dyDescent="0.25">
      <c r="A67" s="1"/>
      <c r="B67" s="12"/>
      <c r="C67" s="1"/>
      <c r="D67" s="1"/>
      <c r="E67" s="1"/>
      <c r="F67" s="1">
        <f t="shared" ca="1" si="1"/>
        <v>0</v>
      </c>
      <c r="G67" s="1"/>
      <c r="H67" s="1"/>
      <c r="I67" s="1"/>
      <c r="J67" s="1"/>
      <c r="K67" s="1"/>
      <c r="L67" s="1"/>
      <c r="M67" s="1"/>
      <c r="N67" s="1"/>
      <c r="O67" s="1"/>
    </row>
    <row r="68" spans="1:15" ht="15" customHeight="1" x14ac:dyDescent="0.25">
      <c r="A68" s="1"/>
      <c r="B68" s="12"/>
      <c r="C68" s="1"/>
      <c r="D68" s="1"/>
      <c r="E68" s="1"/>
      <c r="F68" s="1">
        <f t="shared" ca="1" si="1"/>
        <v>0</v>
      </c>
      <c r="G68" s="1"/>
      <c r="H68" s="1"/>
      <c r="I68" s="1"/>
      <c r="J68" s="1"/>
      <c r="K68" s="1"/>
      <c r="L68" s="1"/>
      <c r="M68" s="1"/>
      <c r="N68" s="1"/>
      <c r="O68" s="1"/>
    </row>
    <row r="69" spans="1:15" ht="15" customHeight="1" x14ac:dyDescent="0.25">
      <c r="A69" s="1"/>
      <c r="B69" s="12"/>
      <c r="C69" s="1"/>
      <c r="D69" s="1"/>
      <c r="E69" s="1"/>
      <c r="F69" s="1">
        <f t="shared" ca="1" si="1"/>
        <v>0</v>
      </c>
      <c r="G69" s="1"/>
      <c r="H69" s="1"/>
      <c r="I69" s="1"/>
      <c r="J69" s="1"/>
      <c r="K69" s="1"/>
      <c r="L69" s="1"/>
      <c r="M69" s="1"/>
      <c r="N69" s="1"/>
      <c r="O69" s="1"/>
    </row>
    <row r="70" spans="1:15" ht="15" customHeight="1" x14ac:dyDescent="0.25">
      <c r="A70" s="1"/>
      <c r="B70" s="12"/>
      <c r="C70" s="1"/>
      <c r="D70" s="1"/>
      <c r="E70" s="1"/>
      <c r="F70" s="1">
        <f t="shared" ca="1" si="1"/>
        <v>0</v>
      </c>
      <c r="G70" s="1"/>
      <c r="H70" s="1"/>
      <c r="I70" s="1"/>
      <c r="J70" s="1"/>
      <c r="K70" s="1"/>
      <c r="L70" s="1"/>
      <c r="M70" s="1"/>
      <c r="N70" s="1"/>
      <c r="O70" s="1"/>
    </row>
    <row r="71" spans="1:15" ht="15" customHeight="1" x14ac:dyDescent="0.25">
      <c r="A71" s="1"/>
      <c r="B71" s="12"/>
      <c r="C71" s="1"/>
      <c r="D71" s="1"/>
      <c r="E71" s="1"/>
      <c r="F71" s="1">
        <f t="shared" ca="1" si="1"/>
        <v>0</v>
      </c>
      <c r="G71" s="1"/>
      <c r="H71" s="1"/>
      <c r="I71" s="1"/>
      <c r="J71" s="1"/>
      <c r="K71" s="1"/>
      <c r="L71" s="1"/>
      <c r="M71" s="1"/>
      <c r="N71" s="1"/>
      <c r="O71" s="1"/>
    </row>
    <row r="72" spans="1:15" ht="15" customHeight="1" x14ac:dyDescent="0.25">
      <c r="A72" s="1"/>
      <c r="B72" s="12"/>
      <c r="C72" s="1"/>
      <c r="D72" s="1"/>
      <c r="E72" s="1"/>
      <c r="F72" s="1">
        <f t="shared" ca="1" si="1"/>
        <v>0</v>
      </c>
      <c r="G72" s="1"/>
      <c r="H72" s="1"/>
      <c r="I72" s="1"/>
      <c r="J72" s="1"/>
      <c r="K72" s="1"/>
      <c r="L72" s="1"/>
      <c r="M72" s="1"/>
      <c r="N72" s="1"/>
      <c r="O72" s="1"/>
    </row>
    <row r="73" spans="1:15" ht="15" customHeight="1" x14ac:dyDescent="0.25">
      <c r="A73" s="1"/>
      <c r="B73" s="12"/>
      <c r="C73" s="1"/>
      <c r="D73" s="1"/>
      <c r="E73" s="1"/>
      <c r="F73" s="1">
        <f t="shared" ca="1" si="1"/>
        <v>0</v>
      </c>
      <c r="G73" s="1"/>
      <c r="H73" s="1"/>
      <c r="I73" s="1"/>
      <c r="J73" s="1"/>
      <c r="K73" s="1"/>
      <c r="L73" s="1"/>
      <c r="M73" s="1"/>
      <c r="N73" s="1"/>
      <c r="O73" s="1"/>
    </row>
    <row r="74" spans="1:15" ht="15" customHeight="1" x14ac:dyDescent="0.25">
      <c r="A74" s="1"/>
      <c r="B74" s="12"/>
      <c r="C74" s="1"/>
      <c r="D74" s="1"/>
      <c r="E74" s="1"/>
      <c r="F74" s="1">
        <f t="shared" ca="1" si="1"/>
        <v>0</v>
      </c>
      <c r="G74" s="1"/>
      <c r="H74" s="1"/>
      <c r="I74" s="1"/>
      <c r="J74" s="1"/>
      <c r="K74" s="1"/>
      <c r="L74" s="1"/>
      <c r="M74" s="1"/>
      <c r="N74" s="1"/>
      <c r="O74" s="1"/>
    </row>
    <row r="75" spans="1:15" ht="15" customHeight="1" x14ac:dyDescent="0.25">
      <c r="A75" s="1"/>
      <c r="B75" s="12"/>
      <c r="C75" s="1"/>
      <c r="D75" s="1"/>
      <c r="E75" s="1"/>
      <c r="F75" s="1">
        <f t="shared" ca="1" si="1"/>
        <v>0</v>
      </c>
      <c r="G75" s="1"/>
      <c r="H75" s="1"/>
      <c r="I75" s="1"/>
      <c r="J75" s="1"/>
      <c r="K75" s="1"/>
      <c r="L75" s="1"/>
      <c r="M75" s="1"/>
      <c r="N75" s="1"/>
      <c r="O75" s="1"/>
    </row>
    <row r="76" spans="1:15" ht="15" customHeight="1" x14ac:dyDescent="0.25">
      <c r="A76" s="1"/>
      <c r="B76" s="12"/>
      <c r="C76" s="1"/>
      <c r="D76" s="1"/>
      <c r="E76" s="1"/>
      <c r="F76" s="1">
        <f t="shared" ca="1" si="1"/>
        <v>0</v>
      </c>
      <c r="G76" s="1"/>
      <c r="H76" s="1"/>
      <c r="I76" s="1"/>
      <c r="J76" s="1"/>
      <c r="K76" s="1"/>
      <c r="L76" s="1"/>
      <c r="M76" s="1"/>
      <c r="N76" s="1"/>
      <c r="O76" s="1"/>
    </row>
    <row r="77" spans="1:15" ht="15" customHeight="1" x14ac:dyDescent="0.25">
      <c r="A77" s="1"/>
      <c r="B77" s="12"/>
      <c r="C77" s="1"/>
      <c r="D77" s="1"/>
      <c r="E77" s="1"/>
      <c r="F77" s="1">
        <f t="shared" ca="1" si="1"/>
        <v>0</v>
      </c>
      <c r="G77" s="1"/>
      <c r="H77" s="1"/>
      <c r="I77" s="1"/>
      <c r="J77" s="1"/>
      <c r="K77" s="1"/>
      <c r="L77" s="1"/>
      <c r="M77" s="1"/>
      <c r="N77" s="1"/>
      <c r="O77" s="1"/>
    </row>
    <row r="78" spans="1:15" ht="15" customHeight="1" x14ac:dyDescent="0.25">
      <c r="A78" s="1"/>
      <c r="B78" s="12"/>
      <c r="C78" s="1"/>
      <c r="D78" s="1"/>
      <c r="E78" s="1"/>
      <c r="F78" s="1">
        <f t="shared" ca="1" si="1"/>
        <v>0</v>
      </c>
      <c r="G78" s="1"/>
      <c r="H78" s="1"/>
      <c r="I78" s="1"/>
      <c r="J78" s="1"/>
      <c r="K78" s="1"/>
      <c r="L78" s="1"/>
      <c r="M78" s="1"/>
      <c r="N78" s="1"/>
      <c r="O78" s="1"/>
    </row>
    <row r="79" spans="1:15" ht="15" customHeight="1" x14ac:dyDescent="0.25">
      <c r="A79" s="1"/>
      <c r="B79" s="12"/>
      <c r="C79" s="1"/>
      <c r="D79" s="1"/>
      <c r="E79" s="1"/>
      <c r="F79" s="1">
        <f t="shared" ca="1" si="1"/>
        <v>0</v>
      </c>
      <c r="G79" s="1"/>
      <c r="H79" s="1"/>
      <c r="I79" s="1"/>
      <c r="J79" s="1"/>
      <c r="K79" s="1"/>
      <c r="L79" s="1"/>
      <c r="M79" s="1"/>
      <c r="N79" s="1"/>
      <c r="O79" s="1"/>
    </row>
    <row r="80" spans="1:15" ht="15" customHeight="1" x14ac:dyDescent="0.25">
      <c r="A80" s="1"/>
      <c r="B80" s="12"/>
      <c r="C80" s="1"/>
      <c r="D80" s="1"/>
      <c r="E80" s="1"/>
      <c r="F80" s="1">
        <f t="shared" ca="1" si="1"/>
        <v>0</v>
      </c>
      <c r="G80" s="1"/>
      <c r="H80" s="1"/>
      <c r="I80" s="1"/>
      <c r="J80" s="1"/>
      <c r="K80" s="1"/>
      <c r="L80" s="1"/>
      <c r="M80" s="1"/>
      <c r="N80" s="1"/>
      <c r="O80" s="1"/>
    </row>
    <row r="81" spans="1:15" ht="15" customHeight="1" x14ac:dyDescent="0.25">
      <c r="A81" s="1"/>
      <c r="B81" s="12"/>
      <c r="C81" s="1"/>
      <c r="D81" s="1"/>
      <c r="E81" s="1"/>
      <c r="F81" s="1">
        <f t="shared" ca="1" si="1"/>
        <v>0</v>
      </c>
      <c r="G81" s="1"/>
      <c r="H81" s="1"/>
      <c r="I81" s="1"/>
      <c r="J81" s="1"/>
      <c r="K81" s="1"/>
      <c r="L81" s="1"/>
      <c r="M81" s="1"/>
      <c r="N81" s="1"/>
      <c r="O81" s="1"/>
    </row>
    <row r="82" spans="1:15" ht="15" customHeight="1" x14ac:dyDescent="0.25">
      <c r="A82" s="1"/>
      <c r="B82" s="12"/>
      <c r="C82" s="1"/>
      <c r="D82" s="1"/>
      <c r="E82" s="1"/>
      <c r="F82" s="1">
        <f t="shared" ca="1" si="1"/>
        <v>0</v>
      </c>
      <c r="G82" s="1"/>
      <c r="H82" s="1"/>
      <c r="I82" s="1"/>
      <c r="J82" s="1"/>
      <c r="K82" s="1"/>
      <c r="L82" s="1"/>
      <c r="M82" s="1"/>
      <c r="N82" s="1"/>
      <c r="O82" s="1"/>
    </row>
    <row r="83" spans="1:15" ht="15" customHeight="1" x14ac:dyDescent="0.25">
      <c r="A83" s="1"/>
      <c r="B83" s="12"/>
      <c r="C83" s="1"/>
      <c r="D83" s="1"/>
      <c r="E83" s="1"/>
      <c r="F83" s="1">
        <f t="shared" ca="1" si="1"/>
        <v>0</v>
      </c>
      <c r="G83" s="1"/>
      <c r="H83" s="1"/>
      <c r="I83" s="1"/>
      <c r="J83" s="1"/>
      <c r="K83" s="1"/>
      <c r="L83" s="1"/>
      <c r="M83" s="1"/>
      <c r="N83" s="1"/>
      <c r="O83" s="1"/>
    </row>
    <row r="84" spans="1:15" ht="15" customHeight="1" x14ac:dyDescent="0.25">
      <c r="A84" s="1"/>
      <c r="B84" s="12"/>
      <c r="C84" s="1"/>
      <c r="D84" s="1"/>
      <c r="E84" s="1"/>
      <c r="F84" s="1">
        <f t="shared" ca="1" si="1"/>
        <v>0</v>
      </c>
      <c r="G84" s="1"/>
      <c r="H84" s="1"/>
      <c r="I84" s="1"/>
      <c r="J84" s="1"/>
      <c r="K84" s="1"/>
      <c r="L84" s="1"/>
      <c r="M84" s="1"/>
      <c r="N84" s="1"/>
      <c r="O84" s="1"/>
    </row>
    <row r="85" spans="1:15" ht="15" customHeight="1" x14ac:dyDescent="0.25">
      <c r="A85" s="1"/>
      <c r="B85" s="12"/>
      <c r="C85" s="1"/>
      <c r="D85" s="1"/>
      <c r="E85" s="1"/>
      <c r="F85" s="1">
        <f t="shared" ca="1" si="1"/>
        <v>0</v>
      </c>
      <c r="G85" s="1"/>
      <c r="H85" s="1"/>
      <c r="I85" s="1"/>
      <c r="J85" s="1"/>
      <c r="K85" s="1"/>
      <c r="L85" s="1"/>
      <c r="M85" s="1"/>
      <c r="N85" s="1"/>
      <c r="O85" s="1"/>
    </row>
    <row r="86" spans="1:15" ht="15" customHeight="1" x14ac:dyDescent="0.25">
      <c r="A86" s="1"/>
      <c r="B86" s="12"/>
      <c r="C86" s="1"/>
      <c r="D86" s="1"/>
      <c r="E86" s="1"/>
      <c r="F86" s="1">
        <f t="shared" ca="1" si="1"/>
        <v>0</v>
      </c>
      <c r="G86" s="1"/>
      <c r="H86" s="1"/>
      <c r="I86" s="1"/>
      <c r="J86" s="1"/>
      <c r="K86" s="1"/>
      <c r="L86" s="1"/>
      <c r="M86" s="1"/>
      <c r="N86" s="1"/>
      <c r="O86" s="1"/>
    </row>
    <row r="87" spans="1:15" ht="15" customHeight="1" x14ac:dyDescent="0.25">
      <c r="A87" s="1"/>
      <c r="B87" s="12"/>
      <c r="C87" s="1"/>
      <c r="D87" s="1"/>
      <c r="E87" s="1"/>
      <c r="F87" s="1">
        <f t="shared" ca="1" si="1"/>
        <v>0</v>
      </c>
      <c r="G87" s="1"/>
      <c r="H87" s="1"/>
      <c r="I87" s="1"/>
      <c r="J87" s="1"/>
      <c r="K87" s="1"/>
      <c r="L87" s="1"/>
      <c r="M87" s="1"/>
      <c r="N87" s="1"/>
      <c r="O87" s="1"/>
    </row>
    <row r="88" spans="1:15" ht="15" customHeight="1" x14ac:dyDescent="0.25">
      <c r="A88" s="1"/>
      <c r="B88" s="12"/>
      <c r="C88" s="1"/>
      <c r="D88" s="1"/>
      <c r="E88" s="1"/>
      <c r="F88" s="1">
        <f t="shared" ca="1" si="1"/>
        <v>0</v>
      </c>
      <c r="G88" s="1"/>
      <c r="H88" s="1"/>
      <c r="I88" s="1"/>
      <c r="J88" s="1"/>
      <c r="K88" s="1"/>
      <c r="L88" s="1"/>
      <c r="M88" s="1"/>
      <c r="N88" s="1"/>
      <c r="O88" s="1"/>
    </row>
    <row r="89" spans="1:15" ht="15" customHeight="1" x14ac:dyDescent="0.25">
      <c r="A89" s="1"/>
      <c r="B89" s="12"/>
      <c r="C89" s="1"/>
      <c r="D89" s="1"/>
      <c r="E89" s="1"/>
      <c r="F89" s="1">
        <f t="shared" ca="1" si="1"/>
        <v>0</v>
      </c>
      <c r="G89" s="1"/>
      <c r="H89" s="1"/>
      <c r="I89" s="1"/>
      <c r="J89" s="1"/>
      <c r="K89" s="1"/>
      <c r="L89" s="1"/>
      <c r="M89" s="1"/>
      <c r="N89" s="1"/>
      <c r="O89" s="1"/>
    </row>
    <row r="90" spans="1:15" ht="15" customHeight="1" x14ac:dyDescent="0.25">
      <c r="A90" s="1"/>
      <c r="B90" s="12"/>
      <c r="C90" s="1"/>
      <c r="D90" s="1"/>
      <c r="E90" s="1"/>
      <c r="F90" s="1">
        <f t="shared" ca="1" si="1"/>
        <v>0</v>
      </c>
      <c r="G90" s="1"/>
      <c r="H90" s="1"/>
      <c r="I90" s="1"/>
      <c r="J90" s="1"/>
      <c r="K90" s="1"/>
      <c r="L90" s="1"/>
      <c r="M90" s="1"/>
      <c r="N90" s="1"/>
      <c r="O90" s="1"/>
    </row>
    <row r="91" spans="1:15" ht="15" customHeight="1" x14ac:dyDescent="0.25">
      <c r="A91" s="1"/>
      <c r="B91" s="12"/>
      <c r="C91" s="1"/>
      <c r="D91" s="1"/>
      <c r="E91" s="1"/>
      <c r="F91" s="1">
        <f t="shared" ca="1" si="1"/>
        <v>0</v>
      </c>
      <c r="G91" s="1"/>
      <c r="H91" s="1"/>
      <c r="I91" s="1"/>
      <c r="J91" s="1"/>
      <c r="K91" s="1"/>
      <c r="L91" s="1"/>
      <c r="M91" s="1"/>
      <c r="N91" s="1"/>
      <c r="O91" s="1"/>
    </row>
    <row r="92" spans="1:15" ht="15" customHeight="1" x14ac:dyDescent="0.25">
      <c r="A92" s="1"/>
      <c r="B92" s="12"/>
      <c r="C92" s="1"/>
      <c r="D92" s="1"/>
      <c r="E92" s="1"/>
      <c r="F92" s="1">
        <f t="shared" ca="1" si="1"/>
        <v>0</v>
      </c>
      <c r="G92" s="1"/>
      <c r="H92" s="1"/>
      <c r="I92" s="1"/>
      <c r="J92" s="1"/>
      <c r="K92" s="1"/>
      <c r="L92" s="1"/>
      <c r="M92" s="1"/>
      <c r="N92" s="1"/>
      <c r="O92" s="1"/>
    </row>
    <row r="93" spans="1:15" ht="15" customHeight="1" x14ac:dyDescent="0.25">
      <c r="A93" s="1"/>
      <c r="B93" s="12"/>
      <c r="C93" s="1"/>
      <c r="D93" s="1"/>
      <c r="E93" s="1"/>
      <c r="F93" s="1">
        <f t="shared" ca="1" si="1"/>
        <v>0</v>
      </c>
      <c r="G93" s="1"/>
      <c r="H93" s="1"/>
      <c r="I93" s="1"/>
      <c r="J93" s="1"/>
      <c r="K93" s="1"/>
      <c r="L93" s="1"/>
      <c r="M93" s="1"/>
      <c r="N93" s="1"/>
      <c r="O93" s="1"/>
    </row>
    <row r="94" spans="1:15" ht="15" customHeight="1" x14ac:dyDescent="0.25">
      <c r="A94" s="1"/>
      <c r="B94" s="12"/>
      <c r="C94" s="1"/>
      <c r="D94" s="1"/>
      <c r="E94" s="1"/>
      <c r="F94" s="1">
        <f t="shared" ca="1" si="1"/>
        <v>0</v>
      </c>
      <c r="G94" s="1"/>
      <c r="H94" s="1"/>
      <c r="I94" s="1"/>
      <c r="J94" s="1"/>
      <c r="K94" s="1"/>
      <c r="L94" s="1"/>
      <c r="M94" s="1"/>
      <c r="N94" s="1"/>
      <c r="O94" s="1"/>
    </row>
    <row r="95" spans="1:15" ht="15" customHeight="1" x14ac:dyDescent="0.25">
      <c r="A95" s="1"/>
      <c r="B95" s="12"/>
      <c r="C95" s="1"/>
      <c r="D95" s="1"/>
      <c r="E95" s="1"/>
      <c r="F95" s="1">
        <f t="shared" ca="1" si="1"/>
        <v>0</v>
      </c>
      <c r="G95" s="1"/>
      <c r="H95" s="1"/>
      <c r="I95" s="1"/>
      <c r="J95" s="1"/>
      <c r="K95" s="1"/>
      <c r="L95" s="1"/>
      <c r="M95" s="1"/>
      <c r="N95" s="1"/>
      <c r="O95" s="1"/>
    </row>
    <row r="96" spans="1:15" ht="15" customHeight="1" x14ac:dyDescent="0.25">
      <c r="A96" s="1"/>
      <c r="B96" s="12"/>
      <c r="C96" s="1"/>
      <c r="D96" s="1"/>
      <c r="E96" s="1"/>
      <c r="F96" s="1">
        <f t="shared" ca="1" si="1"/>
        <v>0</v>
      </c>
      <c r="G96" s="1"/>
      <c r="H96" s="1"/>
      <c r="I96" s="1"/>
      <c r="J96" s="1"/>
      <c r="K96" s="1"/>
      <c r="L96" s="1"/>
      <c r="M96" s="1"/>
      <c r="N96" s="1"/>
      <c r="O96" s="1"/>
    </row>
    <row r="97" spans="1:15" ht="15" customHeight="1" x14ac:dyDescent="0.25">
      <c r="A97" s="1"/>
      <c r="B97" s="12"/>
      <c r="C97" s="1"/>
      <c r="D97" s="1"/>
      <c r="E97" s="1"/>
      <c r="F97" s="1">
        <f t="shared" ca="1" si="1"/>
        <v>0</v>
      </c>
      <c r="G97" s="1"/>
      <c r="H97" s="1"/>
      <c r="I97" s="1"/>
      <c r="J97" s="1"/>
      <c r="K97" s="1"/>
      <c r="L97" s="1"/>
      <c r="M97" s="1"/>
      <c r="N97" s="1"/>
      <c r="O97" s="1"/>
    </row>
    <row r="98" spans="1:15" ht="15" customHeight="1" x14ac:dyDescent="0.25">
      <c r="A98" s="1"/>
      <c r="B98" s="12"/>
      <c r="C98" s="1"/>
      <c r="D98" s="1"/>
      <c r="E98" s="1"/>
      <c r="F98" s="1">
        <f t="shared" ca="1" si="1"/>
        <v>0</v>
      </c>
      <c r="G98" s="1"/>
      <c r="H98" s="1"/>
      <c r="I98" s="1"/>
      <c r="J98" s="1"/>
      <c r="K98" s="1"/>
      <c r="L98" s="1"/>
      <c r="M98" s="1"/>
      <c r="N98" s="1"/>
      <c r="O98" s="1"/>
    </row>
    <row r="99" spans="1:15" ht="15" customHeight="1" x14ac:dyDescent="0.25">
      <c r="A99" s="1"/>
      <c r="B99" s="12"/>
      <c r="C99" s="1"/>
      <c r="D99" s="1"/>
      <c r="E99" s="1"/>
      <c r="F99" s="1">
        <f t="shared" ca="1" si="1"/>
        <v>0</v>
      </c>
      <c r="G99" s="1"/>
      <c r="H99" s="1"/>
      <c r="I99" s="1"/>
      <c r="J99" s="1"/>
      <c r="K99" s="1"/>
      <c r="L99" s="1"/>
      <c r="M99" s="1"/>
      <c r="N99" s="1"/>
      <c r="O99" s="1"/>
    </row>
    <row r="100" spans="1:15" ht="15" customHeight="1" x14ac:dyDescent="0.25">
      <c r="A100" s="1"/>
      <c r="B100" s="12"/>
      <c r="C100" s="1"/>
      <c r="D100" s="1"/>
      <c r="E100" s="1"/>
      <c r="F100" s="1">
        <f t="shared" ca="1" si="1"/>
        <v>0</v>
      </c>
      <c r="G100" s="1"/>
      <c r="H100" s="1"/>
      <c r="I100" s="1"/>
      <c r="J100" s="1"/>
      <c r="K100" s="1"/>
      <c r="L100" s="1"/>
      <c r="M100" s="1"/>
      <c r="N100" s="1"/>
      <c r="O100" s="1"/>
    </row>
    <row r="101" spans="1:15" ht="15" customHeight="1" x14ac:dyDescent="0.25">
      <c r="A101" s="1"/>
      <c r="B101" s="12"/>
      <c r="C101" s="1"/>
      <c r="D101" s="1"/>
      <c r="E101" s="1"/>
      <c r="F101" s="1">
        <f t="shared" ca="1" si="1"/>
        <v>0</v>
      </c>
      <c r="G101" s="1"/>
      <c r="H101" s="1"/>
      <c r="I101" s="1"/>
      <c r="J101" s="1"/>
      <c r="K101" s="1"/>
      <c r="L101" s="1"/>
      <c r="M101" s="1"/>
      <c r="N101" s="1"/>
      <c r="O101" s="1"/>
    </row>
    <row r="102" spans="1:15" ht="15" customHeight="1" x14ac:dyDescent="0.25">
      <c r="A102" s="1"/>
      <c r="B102" s="12"/>
      <c r="C102" s="1"/>
      <c r="D102" s="1"/>
      <c r="E102" s="1"/>
      <c r="F102" s="1">
        <f t="shared" ref="F102:F165" ca="1" si="2">IF(OR(G102="",H102="",I102=""),F102=" ",IF(MAX(G102,H102,I102)=G102,"USABLE",IF(MAX(G102,H102,I102)=H102,"DAMAGED",IF(MAX(G102,H102,I102)=I102,"REPAIR",""))))</f>
        <v>0</v>
      </c>
      <c r="G102" s="1"/>
      <c r="H102" s="1"/>
      <c r="I102" s="1"/>
      <c r="J102" s="1"/>
      <c r="K102" s="1"/>
      <c r="L102" s="1"/>
      <c r="M102" s="1"/>
      <c r="N102" s="1"/>
      <c r="O102" s="1"/>
    </row>
    <row r="103" spans="1:15" ht="15" customHeight="1" x14ac:dyDescent="0.25">
      <c r="A103" s="1"/>
      <c r="B103" s="12"/>
      <c r="C103" s="1"/>
      <c r="D103" s="1"/>
      <c r="E103" s="1"/>
      <c r="F103" s="1">
        <f t="shared" ca="1" si="2"/>
        <v>0</v>
      </c>
      <c r="G103" s="1"/>
      <c r="H103" s="1"/>
      <c r="I103" s="1"/>
      <c r="J103" s="1"/>
      <c r="K103" s="1"/>
      <c r="L103" s="1"/>
      <c r="M103" s="1"/>
      <c r="N103" s="1"/>
      <c r="O103" s="1"/>
    </row>
    <row r="104" spans="1:15" ht="15" customHeight="1" x14ac:dyDescent="0.25">
      <c r="A104" s="1"/>
      <c r="B104" s="12"/>
      <c r="C104" s="1"/>
      <c r="D104" s="1"/>
      <c r="E104" s="1"/>
      <c r="F104" s="1">
        <f t="shared" ca="1" si="2"/>
        <v>0</v>
      </c>
      <c r="G104" s="1"/>
      <c r="H104" s="1"/>
      <c r="I104" s="1"/>
      <c r="J104" s="1"/>
      <c r="K104" s="1"/>
      <c r="L104" s="1"/>
      <c r="M104" s="1"/>
      <c r="N104" s="1"/>
      <c r="O104" s="1"/>
    </row>
    <row r="105" spans="1:15" ht="15" customHeight="1" x14ac:dyDescent="0.25">
      <c r="A105" s="1"/>
      <c r="B105" s="12"/>
      <c r="C105" s="1"/>
      <c r="D105" s="1"/>
      <c r="E105" s="1"/>
      <c r="F105" s="1">
        <f t="shared" ca="1" si="2"/>
        <v>0</v>
      </c>
      <c r="G105" s="1"/>
      <c r="H105" s="1"/>
      <c r="I105" s="1"/>
      <c r="J105" s="1"/>
      <c r="K105" s="1"/>
      <c r="L105" s="1"/>
      <c r="M105" s="1"/>
      <c r="N105" s="1"/>
      <c r="O105" s="1"/>
    </row>
    <row r="106" spans="1:15" ht="15" customHeight="1" x14ac:dyDescent="0.25">
      <c r="A106" s="1"/>
      <c r="B106" s="12"/>
      <c r="C106" s="1"/>
      <c r="D106" s="1"/>
      <c r="E106" s="1"/>
      <c r="F106" s="1">
        <f t="shared" ca="1" si="2"/>
        <v>0</v>
      </c>
      <c r="G106" s="1"/>
      <c r="H106" s="1"/>
      <c r="I106" s="1"/>
      <c r="J106" s="1"/>
      <c r="K106" s="1"/>
      <c r="L106" s="1"/>
      <c r="M106" s="1"/>
      <c r="N106" s="1"/>
      <c r="O106" s="1"/>
    </row>
    <row r="107" spans="1:15" ht="15" customHeight="1" x14ac:dyDescent="0.25">
      <c r="A107" s="1"/>
      <c r="B107" s="12"/>
      <c r="C107" s="1"/>
      <c r="D107" s="1"/>
      <c r="E107" s="1"/>
      <c r="F107" s="1">
        <f t="shared" ca="1" si="2"/>
        <v>0</v>
      </c>
      <c r="G107" s="1"/>
      <c r="H107" s="1"/>
      <c r="I107" s="1"/>
      <c r="J107" s="1"/>
      <c r="K107" s="1"/>
      <c r="L107" s="1"/>
      <c r="M107" s="1"/>
      <c r="N107" s="1"/>
      <c r="O107" s="1"/>
    </row>
    <row r="108" spans="1:15" ht="15" customHeight="1" x14ac:dyDescent="0.25">
      <c r="A108" s="1"/>
      <c r="B108" s="12"/>
      <c r="C108" s="1"/>
      <c r="D108" s="1"/>
      <c r="E108" s="1"/>
      <c r="F108" s="1">
        <f t="shared" ca="1" si="2"/>
        <v>0</v>
      </c>
      <c r="G108" s="1"/>
      <c r="H108" s="1"/>
      <c r="I108" s="1"/>
      <c r="J108" s="1"/>
      <c r="K108" s="1"/>
      <c r="L108" s="1"/>
      <c r="M108" s="1"/>
      <c r="N108" s="1"/>
      <c r="O108" s="1"/>
    </row>
    <row r="109" spans="1:15" ht="15" customHeight="1" x14ac:dyDescent="0.25">
      <c r="A109" s="1"/>
      <c r="B109" s="12"/>
      <c r="C109" s="1"/>
      <c r="D109" s="1"/>
      <c r="E109" s="1"/>
      <c r="F109" s="1">
        <f t="shared" ca="1" si="2"/>
        <v>0</v>
      </c>
      <c r="G109" s="1"/>
      <c r="H109" s="1"/>
      <c r="I109" s="1"/>
      <c r="J109" s="1"/>
      <c r="K109" s="1"/>
      <c r="L109" s="1"/>
      <c r="M109" s="1"/>
      <c r="N109" s="1"/>
      <c r="O109" s="1"/>
    </row>
    <row r="110" spans="1:15" ht="15" customHeight="1" x14ac:dyDescent="0.25">
      <c r="A110" s="1"/>
      <c r="B110" s="12"/>
      <c r="C110" s="1"/>
      <c r="D110" s="1"/>
      <c r="E110" s="1"/>
      <c r="F110" s="1">
        <f t="shared" ca="1" si="2"/>
        <v>0</v>
      </c>
      <c r="G110" s="1"/>
      <c r="H110" s="1"/>
      <c r="I110" s="1"/>
      <c r="J110" s="1"/>
      <c r="K110" s="1"/>
      <c r="L110" s="1"/>
      <c r="M110" s="1"/>
      <c r="N110" s="1"/>
      <c r="O110" s="1"/>
    </row>
    <row r="111" spans="1:15" ht="15" customHeight="1" x14ac:dyDescent="0.25">
      <c r="A111" s="1"/>
      <c r="B111" s="12"/>
      <c r="C111" s="1"/>
      <c r="D111" s="1"/>
      <c r="E111" s="1"/>
      <c r="F111" s="1">
        <f t="shared" ca="1" si="2"/>
        <v>0</v>
      </c>
      <c r="G111" s="1"/>
      <c r="H111" s="1"/>
      <c r="I111" s="1"/>
      <c r="J111" s="1"/>
      <c r="K111" s="1"/>
      <c r="L111" s="1"/>
      <c r="M111" s="1"/>
      <c r="N111" s="1"/>
      <c r="O111" s="1"/>
    </row>
    <row r="112" spans="1:15" ht="15" customHeight="1" x14ac:dyDescent="0.25">
      <c r="A112" s="1"/>
      <c r="B112" s="12"/>
      <c r="C112" s="1"/>
      <c r="D112" s="1"/>
      <c r="E112" s="1"/>
      <c r="F112" s="1">
        <f t="shared" ca="1" si="2"/>
        <v>0</v>
      </c>
      <c r="G112" s="1"/>
      <c r="H112" s="1"/>
      <c r="I112" s="1"/>
      <c r="J112" s="1"/>
      <c r="K112" s="1"/>
      <c r="L112" s="1"/>
      <c r="M112" s="1"/>
      <c r="N112" s="1"/>
      <c r="O112" s="1"/>
    </row>
    <row r="113" spans="1:15" ht="15" customHeight="1" x14ac:dyDescent="0.25">
      <c r="A113" s="1"/>
      <c r="B113" s="12"/>
      <c r="C113" s="1"/>
      <c r="D113" s="1"/>
      <c r="E113" s="1"/>
      <c r="F113" s="1">
        <f t="shared" ca="1" si="2"/>
        <v>0</v>
      </c>
      <c r="G113" s="1"/>
      <c r="H113" s="1"/>
      <c r="I113" s="1"/>
      <c r="J113" s="1"/>
      <c r="K113" s="1"/>
      <c r="L113" s="1"/>
      <c r="M113" s="1"/>
      <c r="N113" s="1"/>
      <c r="O113" s="1"/>
    </row>
    <row r="114" spans="1:15" ht="15" customHeight="1" x14ac:dyDescent="0.25">
      <c r="A114" s="1"/>
      <c r="B114" s="12"/>
      <c r="C114" s="1"/>
      <c r="D114" s="1"/>
      <c r="E114" s="1"/>
      <c r="F114" s="1">
        <f t="shared" ca="1" si="2"/>
        <v>0</v>
      </c>
      <c r="G114" s="1"/>
      <c r="H114" s="1"/>
      <c r="I114" s="1"/>
      <c r="J114" s="1"/>
      <c r="K114" s="1"/>
      <c r="L114" s="1"/>
      <c r="M114" s="1"/>
      <c r="N114" s="1"/>
      <c r="O114" s="1"/>
    </row>
    <row r="115" spans="1:15" ht="15" customHeight="1" x14ac:dyDescent="0.25">
      <c r="A115" s="1"/>
      <c r="B115" s="12"/>
      <c r="C115" s="1"/>
      <c r="D115" s="1"/>
      <c r="E115" s="1"/>
      <c r="F115" s="1">
        <f t="shared" ca="1" si="2"/>
        <v>0</v>
      </c>
      <c r="G115" s="1"/>
      <c r="H115" s="1"/>
      <c r="I115" s="1"/>
      <c r="J115" s="1"/>
      <c r="K115" s="1"/>
      <c r="L115" s="1"/>
      <c r="M115" s="1"/>
      <c r="N115" s="1"/>
      <c r="O115" s="1"/>
    </row>
    <row r="116" spans="1:15" ht="15" customHeight="1" x14ac:dyDescent="0.25">
      <c r="A116" s="1"/>
      <c r="B116" s="12"/>
      <c r="C116" s="1"/>
      <c r="D116" s="1"/>
      <c r="E116" s="1"/>
      <c r="F116" s="1">
        <f t="shared" ca="1" si="2"/>
        <v>0</v>
      </c>
      <c r="G116" s="1"/>
      <c r="H116" s="1"/>
      <c r="I116" s="1"/>
      <c r="J116" s="1"/>
      <c r="K116" s="1"/>
      <c r="L116" s="1"/>
      <c r="M116" s="1"/>
      <c r="N116" s="1"/>
      <c r="O116" s="1"/>
    </row>
    <row r="117" spans="1:15" ht="15" customHeight="1" x14ac:dyDescent="0.25">
      <c r="A117" s="1"/>
      <c r="B117" s="12"/>
      <c r="C117" s="1"/>
      <c r="D117" s="1"/>
      <c r="E117" s="1"/>
      <c r="F117" s="1">
        <f t="shared" ca="1" si="2"/>
        <v>0</v>
      </c>
      <c r="G117" s="1"/>
      <c r="H117" s="1"/>
      <c r="I117" s="1"/>
      <c r="J117" s="1"/>
      <c r="K117" s="1"/>
      <c r="L117" s="1"/>
      <c r="M117" s="1"/>
      <c r="N117" s="1"/>
      <c r="O117" s="1"/>
    </row>
    <row r="118" spans="1:15" ht="15" customHeight="1" x14ac:dyDescent="0.25">
      <c r="A118" s="1"/>
      <c r="B118" s="12"/>
      <c r="C118" s="1"/>
      <c r="D118" s="1"/>
      <c r="E118" s="1"/>
      <c r="F118" s="1">
        <f t="shared" ca="1" si="2"/>
        <v>0</v>
      </c>
      <c r="G118" s="1"/>
      <c r="H118" s="1"/>
      <c r="I118" s="1"/>
      <c r="J118" s="1"/>
      <c r="K118" s="1"/>
      <c r="L118" s="1"/>
      <c r="M118" s="1"/>
      <c r="N118" s="1"/>
      <c r="O118" s="1"/>
    </row>
    <row r="119" spans="1:15" ht="15" customHeight="1" x14ac:dyDescent="0.25">
      <c r="A119" s="1"/>
      <c r="B119" s="12"/>
      <c r="C119" s="1"/>
      <c r="D119" s="1"/>
      <c r="E119" s="1"/>
      <c r="F119" s="1">
        <f t="shared" ca="1" si="2"/>
        <v>0</v>
      </c>
      <c r="G119" s="1"/>
      <c r="H119" s="1"/>
      <c r="I119" s="1"/>
      <c r="J119" s="1"/>
      <c r="K119" s="1"/>
      <c r="L119" s="1"/>
      <c r="M119" s="1"/>
      <c r="N119" s="1"/>
      <c r="O119" s="1"/>
    </row>
    <row r="120" spans="1:15" ht="15" customHeight="1" x14ac:dyDescent="0.25">
      <c r="A120" s="1"/>
      <c r="B120" s="12"/>
      <c r="C120" s="1"/>
      <c r="D120" s="1"/>
      <c r="E120" s="1"/>
      <c r="F120" s="1">
        <f t="shared" ca="1" si="2"/>
        <v>0</v>
      </c>
      <c r="G120" s="1"/>
      <c r="H120" s="1"/>
      <c r="I120" s="1"/>
      <c r="J120" s="1"/>
      <c r="K120" s="1"/>
      <c r="L120" s="1"/>
      <c r="M120" s="1"/>
      <c r="N120" s="1"/>
      <c r="O120" s="1"/>
    </row>
    <row r="121" spans="1:15" ht="15" customHeight="1" x14ac:dyDescent="0.25">
      <c r="A121" s="1"/>
      <c r="B121" s="12"/>
      <c r="C121" s="1"/>
      <c r="D121" s="1"/>
      <c r="E121" s="1"/>
      <c r="F121" s="1">
        <f t="shared" ca="1" si="2"/>
        <v>0</v>
      </c>
      <c r="G121" s="1"/>
      <c r="H121" s="1"/>
      <c r="I121" s="1"/>
      <c r="J121" s="1"/>
      <c r="K121" s="1"/>
      <c r="L121" s="1"/>
      <c r="M121" s="1"/>
      <c r="N121" s="1"/>
      <c r="O121" s="1"/>
    </row>
    <row r="122" spans="1:15" ht="15" customHeight="1" x14ac:dyDescent="0.25">
      <c r="A122" s="1"/>
      <c r="B122" s="12"/>
      <c r="C122" s="1"/>
      <c r="D122" s="1"/>
      <c r="E122" s="1"/>
      <c r="F122" s="1">
        <f t="shared" ca="1" si="2"/>
        <v>0</v>
      </c>
      <c r="G122" s="1"/>
      <c r="H122" s="1"/>
      <c r="I122" s="1"/>
      <c r="J122" s="1"/>
      <c r="K122" s="1"/>
      <c r="L122" s="1"/>
      <c r="M122" s="1"/>
      <c r="N122" s="1"/>
      <c r="O122" s="1"/>
    </row>
    <row r="123" spans="1:15" ht="15" customHeight="1" x14ac:dyDescent="0.25">
      <c r="A123" s="1"/>
      <c r="B123" s="12"/>
      <c r="C123" s="1"/>
      <c r="D123" s="1"/>
      <c r="E123" s="1"/>
      <c r="F123" s="1">
        <f t="shared" ca="1" si="2"/>
        <v>0</v>
      </c>
      <c r="G123" s="1"/>
      <c r="H123" s="1"/>
      <c r="I123" s="1"/>
      <c r="J123" s="1"/>
      <c r="K123" s="1"/>
      <c r="L123" s="1"/>
      <c r="M123" s="1"/>
      <c r="N123" s="1"/>
      <c r="O123" s="1"/>
    </row>
    <row r="124" spans="1:15" ht="15" customHeight="1" x14ac:dyDescent="0.25">
      <c r="A124" s="1"/>
      <c r="B124" s="12"/>
      <c r="C124" s="1"/>
      <c r="D124" s="1"/>
      <c r="E124" s="1"/>
      <c r="F124" s="1">
        <f t="shared" ca="1" si="2"/>
        <v>0</v>
      </c>
      <c r="G124" s="1"/>
      <c r="H124" s="1"/>
      <c r="I124" s="1"/>
      <c r="J124" s="1"/>
      <c r="K124" s="1"/>
      <c r="L124" s="1"/>
      <c r="M124" s="1"/>
      <c r="N124" s="1"/>
      <c r="O124" s="1"/>
    </row>
    <row r="125" spans="1:15" ht="15" customHeight="1" x14ac:dyDescent="0.25">
      <c r="A125" s="1"/>
      <c r="B125" s="12"/>
      <c r="C125" s="1"/>
      <c r="D125" s="1"/>
      <c r="E125" s="1"/>
      <c r="F125" s="1">
        <f t="shared" ca="1" si="2"/>
        <v>0</v>
      </c>
      <c r="G125" s="1"/>
      <c r="H125" s="1"/>
      <c r="I125" s="1"/>
      <c r="J125" s="1"/>
      <c r="K125" s="1"/>
      <c r="L125" s="1"/>
      <c r="M125" s="1"/>
      <c r="N125" s="1"/>
      <c r="O125" s="1"/>
    </row>
    <row r="126" spans="1:15" ht="15" customHeight="1" x14ac:dyDescent="0.25">
      <c r="A126" s="1"/>
      <c r="B126" s="12"/>
      <c r="C126" s="1"/>
      <c r="D126" s="1"/>
      <c r="E126" s="1"/>
      <c r="F126" s="1">
        <f t="shared" ca="1" si="2"/>
        <v>0</v>
      </c>
      <c r="G126" s="1"/>
      <c r="H126" s="1"/>
      <c r="I126" s="1"/>
      <c r="J126" s="1"/>
      <c r="K126" s="1"/>
      <c r="L126" s="1"/>
      <c r="M126" s="1"/>
      <c r="N126" s="1"/>
      <c r="O126" s="1"/>
    </row>
    <row r="127" spans="1:15" ht="15" customHeight="1" x14ac:dyDescent="0.25">
      <c r="A127" s="1"/>
      <c r="B127" s="12"/>
      <c r="C127" s="1"/>
      <c r="D127" s="1"/>
      <c r="E127" s="1"/>
      <c r="F127" s="1">
        <f t="shared" ca="1" si="2"/>
        <v>0</v>
      </c>
      <c r="G127" s="1"/>
      <c r="H127" s="1"/>
      <c r="I127" s="1"/>
      <c r="J127" s="1"/>
      <c r="K127" s="1"/>
      <c r="L127" s="1"/>
      <c r="M127" s="1"/>
      <c r="N127" s="1"/>
      <c r="O127" s="1"/>
    </row>
    <row r="128" spans="1:15" ht="15" customHeight="1" x14ac:dyDescent="0.25">
      <c r="A128" s="1"/>
      <c r="B128" s="12"/>
      <c r="C128" s="1"/>
      <c r="D128" s="1"/>
      <c r="E128" s="1"/>
      <c r="F128" s="1">
        <f t="shared" ca="1" si="2"/>
        <v>0</v>
      </c>
      <c r="G128" s="1"/>
      <c r="H128" s="1"/>
      <c r="I128" s="1"/>
      <c r="J128" s="1"/>
      <c r="K128" s="1"/>
      <c r="L128" s="1"/>
      <c r="M128" s="1"/>
      <c r="N128" s="1"/>
      <c r="O128" s="1"/>
    </row>
    <row r="129" spans="1:15" ht="15" customHeight="1" x14ac:dyDescent="0.25">
      <c r="A129" s="1"/>
      <c r="B129" s="12"/>
      <c r="C129" s="1"/>
      <c r="D129" s="1"/>
      <c r="E129" s="1"/>
      <c r="F129" s="1">
        <f t="shared" ca="1" si="2"/>
        <v>0</v>
      </c>
      <c r="G129" s="1"/>
      <c r="H129" s="1"/>
      <c r="I129" s="1"/>
      <c r="J129" s="1"/>
      <c r="K129" s="1"/>
      <c r="L129" s="1"/>
      <c r="M129" s="1"/>
      <c r="N129" s="1"/>
      <c r="O129" s="1"/>
    </row>
    <row r="130" spans="1:15" ht="15" customHeight="1" x14ac:dyDescent="0.25">
      <c r="A130" s="1"/>
      <c r="B130" s="12"/>
      <c r="C130" s="1"/>
      <c r="D130" s="1"/>
      <c r="E130" s="1"/>
      <c r="F130" s="1">
        <f t="shared" ca="1" si="2"/>
        <v>0</v>
      </c>
      <c r="G130" s="1"/>
      <c r="H130" s="1"/>
      <c r="I130" s="1"/>
      <c r="J130" s="1"/>
      <c r="K130" s="1"/>
      <c r="L130" s="1"/>
      <c r="M130" s="1"/>
      <c r="N130" s="1"/>
      <c r="O130" s="1"/>
    </row>
    <row r="131" spans="1:15" ht="15" customHeight="1" x14ac:dyDescent="0.25">
      <c r="A131" s="1"/>
      <c r="B131" s="12"/>
      <c r="C131" s="1"/>
      <c r="D131" s="1"/>
      <c r="E131" s="1"/>
      <c r="F131" s="1">
        <f t="shared" ca="1" si="2"/>
        <v>0</v>
      </c>
      <c r="G131" s="1"/>
      <c r="H131" s="1"/>
      <c r="I131" s="1"/>
      <c r="J131" s="1"/>
      <c r="K131" s="1"/>
      <c r="L131" s="1"/>
      <c r="M131" s="1"/>
      <c r="N131" s="1"/>
      <c r="O131" s="1"/>
    </row>
    <row r="132" spans="1:15" ht="15" customHeight="1" x14ac:dyDescent="0.25">
      <c r="A132" s="1"/>
      <c r="B132" s="12"/>
      <c r="C132" s="1"/>
      <c r="D132" s="1"/>
      <c r="E132" s="1"/>
      <c r="F132" s="1">
        <f t="shared" ca="1" si="2"/>
        <v>0</v>
      </c>
      <c r="G132" s="1"/>
      <c r="H132" s="1"/>
      <c r="I132" s="1"/>
      <c r="J132" s="1"/>
      <c r="K132" s="1"/>
      <c r="L132" s="1"/>
      <c r="M132" s="1"/>
      <c r="N132" s="1"/>
      <c r="O132" s="1"/>
    </row>
    <row r="133" spans="1:15" ht="15" customHeight="1" x14ac:dyDescent="0.25">
      <c r="A133" s="1"/>
      <c r="B133" s="12"/>
      <c r="C133" s="1"/>
      <c r="D133" s="1"/>
      <c r="E133" s="1"/>
      <c r="F133" s="1">
        <f t="shared" ca="1" si="2"/>
        <v>0</v>
      </c>
      <c r="G133" s="1"/>
      <c r="H133" s="1"/>
      <c r="I133" s="1"/>
      <c r="J133" s="1"/>
      <c r="K133" s="1"/>
      <c r="L133" s="1"/>
      <c r="M133" s="1"/>
      <c r="N133" s="1"/>
      <c r="O133" s="1"/>
    </row>
    <row r="134" spans="1:15" ht="15" customHeight="1" x14ac:dyDescent="0.25">
      <c r="A134" s="1"/>
      <c r="B134" s="12"/>
      <c r="C134" s="1"/>
      <c r="D134" s="1"/>
      <c r="E134" s="1"/>
      <c r="F134" s="1">
        <f t="shared" ca="1" si="2"/>
        <v>0</v>
      </c>
      <c r="G134" s="1"/>
      <c r="H134" s="1"/>
      <c r="I134" s="1"/>
      <c r="J134" s="1"/>
      <c r="K134" s="1"/>
      <c r="L134" s="1"/>
      <c r="M134" s="1"/>
      <c r="N134" s="1"/>
      <c r="O134" s="1"/>
    </row>
    <row r="135" spans="1:15" ht="15" customHeight="1" x14ac:dyDescent="0.25">
      <c r="A135" s="1"/>
      <c r="B135" s="12"/>
      <c r="C135" s="1"/>
      <c r="D135" s="1"/>
      <c r="E135" s="1"/>
      <c r="F135" s="1">
        <f t="shared" ca="1" si="2"/>
        <v>0</v>
      </c>
      <c r="G135" s="1"/>
      <c r="H135" s="1"/>
      <c r="I135" s="1"/>
      <c r="J135" s="1"/>
      <c r="K135" s="1"/>
      <c r="L135" s="1"/>
      <c r="M135" s="1"/>
      <c r="N135" s="1"/>
      <c r="O135" s="1"/>
    </row>
    <row r="136" spans="1:15" ht="15" customHeight="1" x14ac:dyDescent="0.25">
      <c r="A136" s="1"/>
      <c r="B136" s="12"/>
      <c r="C136" s="1"/>
      <c r="D136" s="1"/>
      <c r="E136" s="1"/>
      <c r="F136" s="1">
        <f t="shared" ca="1" si="2"/>
        <v>0</v>
      </c>
      <c r="G136" s="1"/>
      <c r="H136" s="1"/>
      <c r="I136" s="1"/>
      <c r="J136" s="1"/>
      <c r="K136" s="1"/>
      <c r="L136" s="1"/>
      <c r="M136" s="1"/>
      <c r="N136" s="1"/>
      <c r="O136" s="1"/>
    </row>
    <row r="137" spans="1:15" ht="15" customHeight="1" x14ac:dyDescent="0.25">
      <c r="A137" s="1"/>
      <c r="B137" s="12"/>
      <c r="C137" s="1"/>
      <c r="D137" s="1"/>
      <c r="E137" s="1"/>
      <c r="F137" s="1">
        <f t="shared" ca="1" si="2"/>
        <v>0</v>
      </c>
      <c r="G137" s="1"/>
      <c r="H137" s="1"/>
      <c r="I137" s="1"/>
      <c r="J137" s="1"/>
      <c r="K137" s="1"/>
      <c r="L137" s="1"/>
      <c r="M137" s="1"/>
      <c r="N137" s="1"/>
      <c r="O137" s="1"/>
    </row>
    <row r="138" spans="1:15" ht="15" customHeight="1" x14ac:dyDescent="0.25">
      <c r="A138" s="1"/>
      <c r="B138" s="12"/>
      <c r="C138" s="1"/>
      <c r="D138" s="1"/>
      <c r="E138" s="1"/>
      <c r="F138" s="1">
        <f t="shared" ca="1" si="2"/>
        <v>0</v>
      </c>
      <c r="G138" s="1"/>
      <c r="H138" s="1"/>
      <c r="I138" s="1"/>
      <c r="J138" s="1"/>
      <c r="K138" s="1"/>
      <c r="L138" s="1"/>
      <c r="M138" s="1"/>
      <c r="N138" s="1"/>
      <c r="O138" s="1"/>
    </row>
    <row r="139" spans="1:15" ht="15" customHeight="1" x14ac:dyDescent="0.25">
      <c r="A139" s="1"/>
      <c r="B139" s="12"/>
      <c r="C139" s="1"/>
      <c r="D139" s="1"/>
      <c r="E139" s="1"/>
      <c r="F139" s="1">
        <f t="shared" ca="1" si="2"/>
        <v>0</v>
      </c>
      <c r="G139" s="1"/>
      <c r="H139" s="1"/>
      <c r="I139" s="1"/>
      <c r="J139" s="1"/>
      <c r="K139" s="1"/>
      <c r="L139" s="1"/>
      <c r="M139" s="1"/>
      <c r="N139" s="1"/>
      <c r="O139" s="1"/>
    </row>
    <row r="140" spans="1:15" ht="15" customHeight="1" x14ac:dyDescent="0.25">
      <c r="A140" s="1"/>
      <c r="B140" s="12"/>
      <c r="C140" s="1"/>
      <c r="D140" s="1"/>
      <c r="E140" s="1"/>
      <c r="F140" s="1">
        <f t="shared" ca="1" si="2"/>
        <v>0</v>
      </c>
      <c r="G140" s="1"/>
      <c r="H140" s="1"/>
      <c r="I140" s="1"/>
      <c r="J140" s="1"/>
      <c r="K140" s="1"/>
      <c r="L140" s="1"/>
      <c r="M140" s="1"/>
      <c r="N140" s="1"/>
      <c r="O140" s="1"/>
    </row>
    <row r="141" spans="1:15" ht="15" customHeight="1" x14ac:dyDescent="0.25">
      <c r="A141" s="1"/>
      <c r="B141" s="12"/>
      <c r="C141" s="1"/>
      <c r="D141" s="1"/>
      <c r="E141" s="1"/>
      <c r="F141" s="1">
        <f t="shared" ca="1" si="2"/>
        <v>0</v>
      </c>
      <c r="G141" s="1"/>
      <c r="H141" s="1"/>
      <c r="I141" s="1"/>
      <c r="J141" s="1"/>
      <c r="K141" s="1"/>
      <c r="L141" s="1"/>
      <c r="M141" s="1"/>
      <c r="N141" s="1"/>
      <c r="O141" s="1"/>
    </row>
    <row r="142" spans="1:15" ht="15" customHeight="1" x14ac:dyDescent="0.25">
      <c r="A142" s="1"/>
      <c r="B142" s="12"/>
      <c r="C142" s="1"/>
      <c r="D142" s="1"/>
      <c r="E142" s="1"/>
      <c r="F142" s="1">
        <f t="shared" ca="1" si="2"/>
        <v>0</v>
      </c>
      <c r="G142" s="1"/>
      <c r="H142" s="1"/>
      <c r="I142" s="1"/>
      <c r="J142" s="1"/>
      <c r="K142" s="1"/>
      <c r="L142" s="1"/>
      <c r="M142" s="1"/>
      <c r="N142" s="1"/>
      <c r="O142" s="1"/>
    </row>
    <row r="143" spans="1:15" ht="15" customHeight="1" x14ac:dyDescent="0.25">
      <c r="A143" s="1"/>
      <c r="B143" s="12"/>
      <c r="C143" s="1"/>
      <c r="D143" s="1"/>
      <c r="E143" s="1"/>
      <c r="F143" s="1">
        <f t="shared" ca="1" si="2"/>
        <v>0</v>
      </c>
      <c r="G143" s="1"/>
      <c r="H143" s="1"/>
      <c r="I143" s="1"/>
      <c r="J143" s="1"/>
      <c r="K143" s="1"/>
      <c r="L143" s="1"/>
      <c r="M143" s="1"/>
      <c r="N143" s="1"/>
      <c r="O143" s="1"/>
    </row>
    <row r="144" spans="1:15" ht="15" customHeight="1" x14ac:dyDescent="0.25">
      <c r="A144" s="1"/>
      <c r="B144" s="12"/>
      <c r="C144" s="1"/>
      <c r="D144" s="1"/>
      <c r="E144" s="1"/>
      <c r="F144" s="1">
        <f t="shared" ca="1" si="2"/>
        <v>0</v>
      </c>
      <c r="G144" s="1"/>
      <c r="H144" s="1"/>
      <c r="I144" s="1"/>
      <c r="J144" s="1"/>
      <c r="K144" s="1"/>
      <c r="L144" s="1"/>
      <c r="M144" s="1"/>
      <c r="N144" s="1"/>
      <c r="O144" s="1"/>
    </row>
    <row r="145" spans="1:15" ht="15" customHeight="1" x14ac:dyDescent="0.25">
      <c r="A145" s="1"/>
      <c r="B145" s="12"/>
      <c r="C145" s="1"/>
      <c r="D145" s="1"/>
      <c r="E145" s="1"/>
      <c r="F145" s="1">
        <f t="shared" ca="1" si="2"/>
        <v>0</v>
      </c>
      <c r="G145" s="1"/>
      <c r="H145" s="1"/>
      <c r="I145" s="1"/>
      <c r="J145" s="1"/>
      <c r="K145" s="1"/>
      <c r="L145" s="1"/>
      <c r="M145" s="1"/>
      <c r="N145" s="1"/>
      <c r="O145" s="1"/>
    </row>
    <row r="146" spans="1:15" ht="15" customHeight="1" x14ac:dyDescent="0.25">
      <c r="A146" s="1"/>
      <c r="B146" s="12"/>
      <c r="C146" s="1"/>
      <c r="D146" s="1"/>
      <c r="E146" s="1"/>
      <c r="F146" s="1">
        <f t="shared" ca="1" si="2"/>
        <v>0</v>
      </c>
      <c r="G146" s="1"/>
      <c r="H146" s="1"/>
      <c r="I146" s="1"/>
      <c r="J146" s="1"/>
      <c r="K146" s="1"/>
      <c r="L146" s="1"/>
      <c r="M146" s="1"/>
      <c r="N146" s="1"/>
      <c r="O146" s="1"/>
    </row>
    <row r="147" spans="1:15" ht="15" customHeight="1" x14ac:dyDescent="0.25">
      <c r="A147" s="1"/>
      <c r="B147" s="12"/>
      <c r="C147" s="1"/>
      <c r="D147" s="1"/>
      <c r="E147" s="1"/>
      <c r="F147" s="1">
        <f t="shared" ca="1" si="2"/>
        <v>0</v>
      </c>
      <c r="G147" s="1"/>
      <c r="H147" s="1"/>
      <c r="I147" s="1"/>
      <c r="J147" s="1"/>
      <c r="K147" s="1"/>
      <c r="L147" s="1"/>
      <c r="M147" s="1"/>
      <c r="N147" s="1"/>
      <c r="O147" s="1"/>
    </row>
    <row r="148" spans="1:15" ht="15" customHeight="1" x14ac:dyDescent="0.25">
      <c r="A148" s="1"/>
      <c r="B148" s="12"/>
      <c r="C148" s="1"/>
      <c r="D148" s="1"/>
      <c r="E148" s="1"/>
      <c r="F148" s="1">
        <f t="shared" ca="1" si="2"/>
        <v>0</v>
      </c>
      <c r="G148" s="1"/>
      <c r="H148" s="1"/>
      <c r="I148" s="1"/>
      <c r="J148" s="1"/>
      <c r="K148" s="1"/>
      <c r="L148" s="1"/>
      <c r="M148" s="1"/>
      <c r="N148" s="1"/>
      <c r="O148" s="1"/>
    </row>
    <row r="149" spans="1:15" ht="15" customHeight="1" x14ac:dyDescent="0.25">
      <c r="A149" s="1"/>
      <c r="B149" s="12"/>
      <c r="C149" s="1"/>
      <c r="D149" s="1"/>
      <c r="E149" s="1"/>
      <c r="F149" s="1">
        <f t="shared" ca="1" si="2"/>
        <v>0</v>
      </c>
      <c r="G149" s="1"/>
      <c r="H149" s="1"/>
      <c r="I149" s="1"/>
      <c r="J149" s="1"/>
      <c r="K149" s="1"/>
      <c r="L149" s="1"/>
      <c r="M149" s="1"/>
      <c r="N149" s="1"/>
      <c r="O149" s="1"/>
    </row>
    <row r="150" spans="1:15" ht="15" customHeight="1" x14ac:dyDescent="0.25">
      <c r="A150" s="1"/>
      <c r="B150" s="12"/>
      <c r="C150" s="1"/>
      <c r="D150" s="1"/>
      <c r="E150" s="1"/>
      <c r="F150" s="1">
        <f t="shared" ca="1" si="2"/>
        <v>0</v>
      </c>
      <c r="G150" s="1"/>
      <c r="H150" s="1"/>
      <c r="I150" s="1"/>
      <c r="J150" s="1"/>
      <c r="K150" s="1"/>
      <c r="L150" s="1"/>
      <c r="M150" s="1"/>
      <c r="N150" s="1"/>
      <c r="O150" s="1"/>
    </row>
    <row r="151" spans="1:15" ht="15" customHeight="1" x14ac:dyDescent="0.25">
      <c r="A151" s="1"/>
      <c r="B151" s="12"/>
      <c r="C151" s="1"/>
      <c r="D151" s="1"/>
      <c r="E151" s="1"/>
      <c r="F151" s="1">
        <f t="shared" ca="1" si="2"/>
        <v>0</v>
      </c>
      <c r="G151" s="1"/>
      <c r="H151" s="1"/>
      <c r="I151" s="1"/>
      <c r="J151" s="1"/>
      <c r="K151" s="1"/>
      <c r="L151" s="1"/>
      <c r="M151" s="1"/>
      <c r="N151" s="1"/>
      <c r="O151" s="1"/>
    </row>
    <row r="152" spans="1:15" ht="15" customHeight="1" x14ac:dyDescent="0.25">
      <c r="A152" s="1"/>
      <c r="B152" s="12"/>
      <c r="C152" s="1"/>
      <c r="D152" s="1"/>
      <c r="E152" s="1"/>
      <c r="F152" s="1">
        <f t="shared" ca="1" si="2"/>
        <v>0</v>
      </c>
      <c r="G152" s="1"/>
      <c r="H152" s="1"/>
      <c r="I152" s="1"/>
      <c r="J152" s="1"/>
      <c r="K152" s="1"/>
      <c r="L152" s="1"/>
      <c r="M152" s="1"/>
      <c r="N152" s="1"/>
      <c r="O152" s="1"/>
    </row>
    <row r="153" spans="1:15" ht="15" customHeight="1" x14ac:dyDescent="0.25">
      <c r="A153" s="1"/>
      <c r="B153" s="12"/>
      <c r="C153" s="1"/>
      <c r="D153" s="1"/>
      <c r="E153" s="1"/>
      <c r="F153" s="1">
        <f t="shared" ca="1" si="2"/>
        <v>0</v>
      </c>
      <c r="G153" s="1"/>
      <c r="H153" s="1"/>
      <c r="I153" s="1"/>
      <c r="J153" s="1"/>
      <c r="K153" s="1"/>
      <c r="L153" s="1"/>
      <c r="M153" s="1"/>
      <c r="N153" s="1"/>
      <c r="O153" s="1"/>
    </row>
    <row r="154" spans="1:15" ht="15" customHeight="1" x14ac:dyDescent="0.25">
      <c r="A154" s="1"/>
      <c r="B154" s="12"/>
      <c r="C154" s="1"/>
      <c r="D154" s="1"/>
      <c r="E154" s="1"/>
      <c r="F154" s="1">
        <f t="shared" ca="1" si="2"/>
        <v>0</v>
      </c>
      <c r="G154" s="1"/>
      <c r="H154" s="1"/>
      <c r="I154" s="1"/>
      <c r="J154" s="1"/>
      <c r="K154" s="1"/>
      <c r="L154" s="1"/>
      <c r="M154" s="1"/>
      <c r="N154" s="1"/>
      <c r="O154" s="1"/>
    </row>
    <row r="155" spans="1:15" ht="15" customHeight="1" x14ac:dyDescent="0.25">
      <c r="A155" s="1"/>
      <c r="B155" s="12"/>
      <c r="C155" s="1"/>
      <c r="D155" s="1"/>
      <c r="E155" s="1"/>
      <c r="F155" s="1">
        <f t="shared" ca="1" si="2"/>
        <v>0</v>
      </c>
      <c r="G155" s="1"/>
      <c r="H155" s="1"/>
      <c r="I155" s="1"/>
      <c r="J155" s="1"/>
      <c r="K155" s="1"/>
      <c r="L155" s="1"/>
      <c r="M155" s="1"/>
      <c r="N155" s="1"/>
      <c r="O155" s="1"/>
    </row>
    <row r="156" spans="1:15" ht="15" customHeight="1" x14ac:dyDescent="0.25">
      <c r="A156" s="1"/>
      <c r="B156" s="12"/>
      <c r="C156" s="1"/>
      <c r="D156" s="1"/>
      <c r="E156" s="1"/>
      <c r="F156" s="1">
        <f t="shared" ca="1" si="2"/>
        <v>0</v>
      </c>
      <c r="G156" s="1"/>
      <c r="H156" s="1"/>
      <c r="I156" s="1"/>
      <c r="J156" s="1"/>
      <c r="K156" s="1"/>
      <c r="L156" s="1"/>
      <c r="M156" s="1"/>
      <c r="N156" s="1"/>
      <c r="O156" s="1"/>
    </row>
    <row r="157" spans="1:15" ht="15" customHeight="1" x14ac:dyDescent="0.25">
      <c r="A157" s="1"/>
      <c r="B157" s="12"/>
      <c r="C157" s="1"/>
      <c r="D157" s="1"/>
      <c r="E157" s="1"/>
      <c r="F157" s="1">
        <f t="shared" ca="1" si="2"/>
        <v>0</v>
      </c>
      <c r="G157" s="1"/>
      <c r="H157" s="1"/>
      <c r="I157" s="1"/>
      <c r="J157" s="1"/>
      <c r="K157" s="1"/>
      <c r="L157" s="1"/>
      <c r="M157" s="1"/>
      <c r="N157" s="1"/>
      <c r="O157" s="1"/>
    </row>
    <row r="158" spans="1:15" ht="15" customHeight="1" x14ac:dyDescent="0.25">
      <c r="A158" s="1"/>
      <c r="B158" s="12"/>
      <c r="C158" s="1"/>
      <c r="D158" s="1"/>
      <c r="E158" s="1"/>
      <c r="F158" s="1">
        <f t="shared" ca="1" si="2"/>
        <v>0</v>
      </c>
      <c r="G158" s="1"/>
      <c r="H158" s="1"/>
      <c r="I158" s="1"/>
      <c r="J158" s="1"/>
      <c r="K158" s="1"/>
      <c r="L158" s="1"/>
      <c r="M158" s="1"/>
      <c r="N158" s="1"/>
      <c r="O158" s="1"/>
    </row>
    <row r="159" spans="1:15" ht="15" customHeight="1" x14ac:dyDescent="0.25">
      <c r="A159" s="1"/>
      <c r="B159" s="12"/>
      <c r="C159" s="1"/>
      <c r="D159" s="1"/>
      <c r="E159" s="1"/>
      <c r="F159" s="1">
        <f t="shared" ca="1" si="2"/>
        <v>0</v>
      </c>
      <c r="G159" s="1"/>
      <c r="H159" s="1"/>
      <c r="I159" s="1"/>
      <c r="J159" s="1"/>
      <c r="K159" s="1"/>
      <c r="L159" s="1"/>
      <c r="M159" s="1"/>
      <c r="N159" s="1"/>
      <c r="O159" s="1"/>
    </row>
    <row r="160" spans="1:15" ht="15" customHeight="1" x14ac:dyDescent="0.25">
      <c r="A160" s="1"/>
      <c r="B160" s="12"/>
      <c r="C160" s="1"/>
      <c r="D160" s="1"/>
      <c r="E160" s="1"/>
      <c r="F160" s="1">
        <f t="shared" ca="1" si="2"/>
        <v>0</v>
      </c>
      <c r="G160" s="1"/>
      <c r="H160" s="1"/>
      <c r="I160" s="1"/>
      <c r="J160" s="1"/>
      <c r="K160" s="1"/>
      <c r="L160" s="1"/>
      <c r="M160" s="1"/>
      <c r="N160" s="1"/>
      <c r="O160" s="1"/>
    </row>
    <row r="161" spans="1:15" ht="15" customHeight="1" x14ac:dyDescent="0.25">
      <c r="A161" s="1"/>
      <c r="B161" s="12"/>
      <c r="C161" s="1"/>
      <c r="D161" s="1"/>
      <c r="E161" s="1"/>
      <c r="F161" s="1">
        <f t="shared" ca="1" si="2"/>
        <v>0</v>
      </c>
      <c r="G161" s="1"/>
      <c r="H161" s="1"/>
      <c r="I161" s="1"/>
      <c r="J161" s="1"/>
      <c r="K161" s="1"/>
      <c r="L161" s="1"/>
      <c r="M161" s="1"/>
      <c r="N161" s="1"/>
      <c r="O161" s="1"/>
    </row>
    <row r="162" spans="1:15" ht="15" customHeight="1" x14ac:dyDescent="0.25">
      <c r="A162" s="1"/>
      <c r="B162" s="12"/>
      <c r="C162" s="1"/>
      <c r="D162" s="1"/>
      <c r="E162" s="1"/>
      <c r="F162" s="1">
        <f t="shared" ca="1" si="2"/>
        <v>0</v>
      </c>
      <c r="G162" s="1"/>
      <c r="H162" s="1"/>
      <c r="I162" s="1"/>
      <c r="J162" s="1"/>
      <c r="K162" s="1"/>
      <c r="L162" s="1"/>
      <c r="M162" s="1"/>
      <c r="N162" s="1"/>
      <c r="O162" s="1"/>
    </row>
    <row r="163" spans="1:15" ht="15" customHeight="1" x14ac:dyDescent="0.25">
      <c r="A163" s="1"/>
      <c r="B163" s="12"/>
      <c r="C163" s="1"/>
      <c r="D163" s="1"/>
      <c r="E163" s="1"/>
      <c r="F163" s="1">
        <f t="shared" ca="1" si="2"/>
        <v>0</v>
      </c>
      <c r="G163" s="1"/>
      <c r="H163" s="1"/>
      <c r="I163" s="1"/>
      <c r="J163" s="1"/>
      <c r="K163" s="1"/>
      <c r="L163" s="1"/>
      <c r="M163" s="1"/>
      <c r="N163" s="1"/>
      <c r="O163" s="1"/>
    </row>
    <row r="164" spans="1:15" ht="15" customHeight="1" x14ac:dyDescent="0.25">
      <c r="A164" s="1"/>
      <c r="B164" s="12"/>
      <c r="C164" s="1"/>
      <c r="D164" s="1"/>
      <c r="E164" s="1"/>
      <c r="F164" s="1">
        <f t="shared" ca="1" si="2"/>
        <v>0</v>
      </c>
      <c r="G164" s="1"/>
      <c r="H164" s="1"/>
      <c r="I164" s="1"/>
      <c r="J164" s="1"/>
      <c r="K164" s="1"/>
      <c r="L164" s="1"/>
      <c r="M164" s="1"/>
      <c r="N164" s="1"/>
      <c r="O164" s="1"/>
    </row>
    <row r="165" spans="1:15" ht="15" customHeight="1" x14ac:dyDescent="0.25">
      <c r="A165" s="1"/>
      <c r="B165" s="12"/>
      <c r="C165" s="1"/>
      <c r="D165" s="1"/>
      <c r="E165" s="1"/>
      <c r="F165" s="1">
        <f t="shared" ca="1" si="2"/>
        <v>0</v>
      </c>
      <c r="G165" s="1"/>
      <c r="H165" s="1"/>
      <c r="I165" s="1"/>
      <c r="J165" s="1"/>
      <c r="K165" s="1"/>
      <c r="L165" s="1"/>
      <c r="M165" s="1"/>
      <c r="N165" s="1"/>
      <c r="O165" s="1"/>
    </row>
    <row r="166" spans="1:15" ht="15" customHeight="1" x14ac:dyDescent="0.25">
      <c r="A166" s="1"/>
      <c r="B166" s="12"/>
      <c r="C166" s="1"/>
      <c r="D166" s="1"/>
      <c r="E166" s="1"/>
      <c r="F166" s="1">
        <f t="shared" ref="F166:F229" ca="1" si="3">IF(OR(G166="",H166="",I166=""),F166=" ",IF(MAX(G166,H166,I166)=G166,"USABLE",IF(MAX(G166,H166,I166)=H166,"DAMAGED",IF(MAX(G166,H166,I166)=I166,"REPAIR",""))))</f>
        <v>0</v>
      </c>
      <c r="G166" s="1"/>
      <c r="H166" s="1"/>
      <c r="I166" s="1"/>
      <c r="J166" s="1"/>
      <c r="K166" s="1"/>
      <c r="L166" s="1"/>
      <c r="M166" s="1"/>
      <c r="N166" s="1"/>
      <c r="O166" s="1"/>
    </row>
    <row r="167" spans="1:15" ht="15" customHeight="1" x14ac:dyDescent="0.25">
      <c r="A167" s="1"/>
      <c r="B167" s="12"/>
      <c r="C167" s="1"/>
      <c r="D167" s="1"/>
      <c r="E167" s="1"/>
      <c r="F167" s="1">
        <f t="shared" ca="1" si="3"/>
        <v>0</v>
      </c>
      <c r="G167" s="1"/>
      <c r="H167" s="1"/>
      <c r="I167" s="1"/>
      <c r="J167" s="1"/>
      <c r="K167" s="1"/>
      <c r="L167" s="1"/>
      <c r="M167" s="1"/>
      <c r="N167" s="1"/>
      <c r="O167" s="1"/>
    </row>
    <row r="168" spans="1:15" ht="15" customHeight="1" x14ac:dyDescent="0.25">
      <c r="A168" s="1"/>
      <c r="B168" s="12"/>
      <c r="C168" s="1"/>
      <c r="D168" s="1"/>
      <c r="E168" s="1"/>
      <c r="F168" s="1">
        <f t="shared" ca="1" si="3"/>
        <v>0</v>
      </c>
      <c r="G168" s="1"/>
      <c r="H168" s="1"/>
      <c r="I168" s="1"/>
      <c r="J168" s="1"/>
      <c r="K168" s="1"/>
      <c r="L168" s="1"/>
      <c r="M168" s="1"/>
      <c r="N168" s="1"/>
      <c r="O168" s="1"/>
    </row>
    <row r="169" spans="1:15" ht="15" customHeight="1" x14ac:dyDescent="0.25">
      <c r="A169" s="1"/>
      <c r="B169" s="12"/>
      <c r="C169" s="1"/>
      <c r="D169" s="1"/>
      <c r="E169" s="1"/>
      <c r="F169" s="1">
        <f t="shared" ca="1" si="3"/>
        <v>0</v>
      </c>
      <c r="G169" s="1"/>
      <c r="H169" s="1"/>
      <c r="I169" s="1"/>
      <c r="J169" s="1"/>
      <c r="K169" s="1"/>
      <c r="L169" s="1"/>
      <c r="M169" s="1"/>
      <c r="N169" s="1"/>
      <c r="O169" s="1"/>
    </row>
    <row r="170" spans="1:15" ht="15" customHeight="1" x14ac:dyDescent="0.25">
      <c r="A170" s="1"/>
      <c r="B170" s="12"/>
      <c r="C170" s="1"/>
      <c r="D170" s="1"/>
      <c r="E170" s="1"/>
      <c r="F170" s="1">
        <f t="shared" ca="1" si="3"/>
        <v>0</v>
      </c>
      <c r="G170" s="1"/>
      <c r="H170" s="1"/>
      <c r="I170" s="1"/>
      <c r="J170" s="1"/>
      <c r="K170" s="1"/>
      <c r="L170" s="1"/>
      <c r="M170" s="1"/>
      <c r="N170" s="1"/>
      <c r="O170" s="1"/>
    </row>
    <row r="171" spans="1:15" ht="15" customHeight="1" x14ac:dyDescent="0.25">
      <c r="A171" s="1"/>
      <c r="B171" s="12"/>
      <c r="C171" s="1"/>
      <c r="D171" s="1"/>
      <c r="E171" s="1"/>
      <c r="F171" s="1">
        <f t="shared" ca="1" si="3"/>
        <v>0</v>
      </c>
      <c r="G171" s="1"/>
      <c r="H171" s="1"/>
      <c r="I171" s="1"/>
      <c r="J171" s="1"/>
      <c r="K171" s="1"/>
      <c r="L171" s="1"/>
      <c r="M171" s="1"/>
      <c r="N171" s="1"/>
      <c r="O171" s="1"/>
    </row>
    <row r="172" spans="1:15" ht="15" customHeight="1" x14ac:dyDescent="0.25">
      <c r="A172" s="1"/>
      <c r="B172" s="12"/>
      <c r="C172" s="1"/>
      <c r="D172" s="1"/>
      <c r="E172" s="1"/>
      <c r="F172" s="1">
        <f t="shared" ca="1" si="3"/>
        <v>0</v>
      </c>
      <c r="G172" s="1"/>
      <c r="H172" s="1"/>
      <c r="I172" s="1"/>
      <c r="J172" s="1"/>
      <c r="K172" s="1"/>
      <c r="L172" s="1"/>
      <c r="M172" s="1"/>
      <c r="N172" s="1"/>
      <c r="O172" s="1"/>
    </row>
    <row r="173" spans="1:15" ht="15" customHeight="1" x14ac:dyDescent="0.25">
      <c r="A173" s="1"/>
      <c r="B173" s="12"/>
      <c r="C173" s="1"/>
      <c r="D173" s="1"/>
      <c r="E173" s="1"/>
      <c r="F173" s="1">
        <f t="shared" ca="1" si="3"/>
        <v>0</v>
      </c>
      <c r="G173" s="1"/>
      <c r="H173" s="1"/>
      <c r="I173" s="1"/>
      <c r="J173" s="1"/>
      <c r="K173" s="1"/>
      <c r="L173" s="1"/>
      <c r="M173" s="1"/>
      <c r="N173" s="1"/>
      <c r="O173" s="1"/>
    </row>
    <row r="174" spans="1:15" ht="15" customHeight="1" x14ac:dyDescent="0.25">
      <c r="A174" s="1"/>
      <c r="B174" s="12"/>
      <c r="C174" s="1"/>
      <c r="D174" s="1"/>
      <c r="E174" s="1"/>
      <c r="F174" s="1">
        <f t="shared" ca="1" si="3"/>
        <v>0</v>
      </c>
      <c r="G174" s="1"/>
      <c r="H174" s="1"/>
      <c r="I174" s="1"/>
      <c r="J174" s="1"/>
      <c r="K174" s="1"/>
      <c r="L174" s="1"/>
      <c r="M174" s="1"/>
      <c r="N174" s="1"/>
      <c r="O174" s="1"/>
    </row>
    <row r="175" spans="1:15" ht="15" customHeight="1" x14ac:dyDescent="0.25">
      <c r="A175" s="1"/>
      <c r="B175" s="12"/>
      <c r="C175" s="1"/>
      <c r="D175" s="1"/>
      <c r="E175" s="1"/>
      <c r="F175" s="1">
        <f t="shared" ca="1" si="3"/>
        <v>0</v>
      </c>
      <c r="G175" s="1"/>
      <c r="H175" s="1"/>
      <c r="I175" s="1"/>
      <c r="J175" s="1"/>
      <c r="K175" s="1"/>
      <c r="L175" s="1"/>
      <c r="M175" s="1"/>
      <c r="N175" s="1"/>
      <c r="O175" s="1"/>
    </row>
    <row r="176" spans="1:15" ht="15" customHeight="1" x14ac:dyDescent="0.25">
      <c r="A176" s="1"/>
      <c r="B176" s="12"/>
      <c r="C176" s="1"/>
      <c r="D176" s="1"/>
      <c r="E176" s="1"/>
      <c r="F176" s="1">
        <f t="shared" ca="1" si="3"/>
        <v>0</v>
      </c>
      <c r="G176" s="1"/>
      <c r="H176" s="1"/>
      <c r="I176" s="1"/>
      <c r="J176" s="1"/>
      <c r="K176" s="1"/>
      <c r="L176" s="1"/>
      <c r="M176" s="1"/>
      <c r="N176" s="1"/>
      <c r="O176" s="1"/>
    </row>
    <row r="177" spans="1:15" ht="15" customHeight="1" x14ac:dyDescent="0.25">
      <c r="A177" s="1"/>
      <c r="B177" s="12"/>
      <c r="C177" s="1"/>
      <c r="D177" s="1"/>
      <c r="E177" s="1"/>
      <c r="F177" s="1">
        <f t="shared" ca="1" si="3"/>
        <v>0</v>
      </c>
      <c r="G177" s="1"/>
      <c r="H177" s="1"/>
      <c r="I177" s="1"/>
      <c r="J177" s="1"/>
      <c r="K177" s="1"/>
      <c r="L177" s="1"/>
      <c r="M177" s="1"/>
      <c r="N177" s="1"/>
      <c r="O177" s="1"/>
    </row>
    <row r="178" spans="1:15" ht="15" customHeight="1" x14ac:dyDescent="0.25">
      <c r="A178" s="1"/>
      <c r="B178" s="12"/>
      <c r="C178" s="1"/>
      <c r="D178" s="1"/>
      <c r="E178" s="1"/>
      <c r="F178" s="1">
        <f t="shared" ca="1" si="3"/>
        <v>0</v>
      </c>
      <c r="G178" s="1"/>
      <c r="H178" s="1"/>
      <c r="I178" s="1"/>
      <c r="J178" s="1"/>
      <c r="K178" s="1"/>
      <c r="L178" s="1"/>
      <c r="M178" s="1"/>
      <c r="N178" s="1"/>
      <c r="O178" s="1"/>
    </row>
    <row r="179" spans="1:15" ht="15" customHeight="1" x14ac:dyDescent="0.25">
      <c r="A179" s="1"/>
      <c r="B179" s="12"/>
      <c r="C179" s="1"/>
      <c r="D179" s="1"/>
      <c r="E179" s="1"/>
      <c r="F179" s="1">
        <f t="shared" ca="1" si="3"/>
        <v>0</v>
      </c>
      <c r="G179" s="1"/>
      <c r="H179" s="1"/>
      <c r="I179" s="1"/>
      <c r="J179" s="1"/>
      <c r="K179" s="1"/>
      <c r="L179" s="1"/>
      <c r="M179" s="1"/>
      <c r="N179" s="1"/>
      <c r="O179" s="1"/>
    </row>
    <row r="180" spans="1:15" ht="15" customHeight="1" x14ac:dyDescent="0.25">
      <c r="A180" s="1"/>
      <c r="B180" s="12"/>
      <c r="C180" s="1"/>
      <c r="D180" s="1"/>
      <c r="E180" s="1"/>
      <c r="F180" s="1">
        <f t="shared" ca="1" si="3"/>
        <v>0</v>
      </c>
      <c r="G180" s="1"/>
      <c r="H180" s="1"/>
      <c r="I180" s="1"/>
      <c r="J180" s="1"/>
      <c r="K180" s="1"/>
      <c r="L180" s="1"/>
      <c r="M180" s="1"/>
      <c r="N180" s="1"/>
      <c r="O180" s="1"/>
    </row>
    <row r="181" spans="1:15" ht="15" customHeight="1" x14ac:dyDescent="0.25">
      <c r="A181" s="1"/>
      <c r="B181" s="12"/>
      <c r="C181" s="1"/>
      <c r="D181" s="1"/>
      <c r="E181" s="1"/>
      <c r="F181" s="1">
        <f t="shared" ca="1" si="3"/>
        <v>0</v>
      </c>
      <c r="G181" s="1"/>
      <c r="H181" s="1"/>
      <c r="I181" s="1"/>
      <c r="J181" s="1"/>
      <c r="K181" s="1"/>
      <c r="L181" s="1"/>
      <c r="M181" s="1"/>
      <c r="N181" s="1"/>
      <c r="O181" s="1"/>
    </row>
    <row r="182" spans="1:15" ht="15" customHeight="1" x14ac:dyDescent="0.25">
      <c r="A182" s="1"/>
      <c r="B182" s="12"/>
      <c r="C182" s="1"/>
      <c r="D182" s="1"/>
      <c r="E182" s="1"/>
      <c r="F182" s="1">
        <f t="shared" ca="1" si="3"/>
        <v>0</v>
      </c>
      <c r="G182" s="1"/>
      <c r="H182" s="1"/>
      <c r="I182" s="1"/>
      <c r="J182" s="1"/>
      <c r="K182" s="1"/>
      <c r="L182" s="1"/>
      <c r="M182" s="1"/>
      <c r="N182" s="1"/>
      <c r="O182" s="1"/>
    </row>
    <row r="183" spans="1:15" ht="15" customHeight="1" x14ac:dyDescent="0.25">
      <c r="A183" s="1"/>
      <c r="B183" s="12"/>
      <c r="C183" s="1"/>
      <c r="D183" s="1"/>
      <c r="E183" s="1"/>
      <c r="F183" s="1">
        <f t="shared" ca="1" si="3"/>
        <v>0</v>
      </c>
      <c r="G183" s="1"/>
      <c r="H183" s="1"/>
      <c r="I183" s="1"/>
      <c r="J183" s="1"/>
      <c r="K183" s="1"/>
      <c r="L183" s="1"/>
      <c r="M183" s="1"/>
      <c r="N183" s="1"/>
      <c r="O183" s="1"/>
    </row>
    <row r="184" spans="1:15" ht="15" customHeight="1" x14ac:dyDescent="0.25">
      <c r="A184" s="1"/>
      <c r="B184" s="12"/>
      <c r="C184" s="1"/>
      <c r="D184" s="1"/>
      <c r="E184" s="1"/>
      <c r="F184" s="1">
        <f t="shared" ca="1" si="3"/>
        <v>0</v>
      </c>
      <c r="G184" s="1"/>
      <c r="H184" s="1"/>
      <c r="I184" s="1"/>
      <c r="J184" s="1"/>
      <c r="K184" s="1"/>
      <c r="L184" s="1"/>
      <c r="M184" s="1"/>
      <c r="N184" s="1"/>
      <c r="O184" s="1"/>
    </row>
    <row r="185" spans="1:15" ht="15" customHeight="1" x14ac:dyDescent="0.25">
      <c r="A185" s="1"/>
      <c r="B185" s="12"/>
      <c r="C185" s="1"/>
      <c r="D185" s="1"/>
      <c r="E185" s="1"/>
      <c r="F185" s="1">
        <f t="shared" ca="1" si="3"/>
        <v>0</v>
      </c>
      <c r="G185" s="1"/>
      <c r="H185" s="1"/>
      <c r="I185" s="1"/>
      <c r="J185" s="1"/>
      <c r="K185" s="1"/>
      <c r="L185" s="1"/>
      <c r="M185" s="1"/>
      <c r="N185" s="1"/>
      <c r="O185" s="1"/>
    </row>
    <row r="186" spans="1:15" ht="15" customHeight="1" x14ac:dyDescent="0.25">
      <c r="A186" s="1"/>
      <c r="B186" s="12"/>
      <c r="C186" s="1"/>
      <c r="D186" s="1"/>
      <c r="E186" s="1"/>
      <c r="F186" s="1">
        <f t="shared" ca="1" si="3"/>
        <v>0</v>
      </c>
      <c r="G186" s="1"/>
      <c r="H186" s="1"/>
      <c r="I186" s="1"/>
      <c r="J186" s="1"/>
      <c r="K186" s="1"/>
      <c r="L186" s="1"/>
      <c r="M186" s="1"/>
      <c r="N186" s="1"/>
      <c r="O186" s="1"/>
    </row>
    <row r="187" spans="1:15" ht="15" customHeight="1" x14ac:dyDescent="0.25">
      <c r="A187" s="1"/>
      <c r="B187" s="12"/>
      <c r="C187" s="1"/>
      <c r="D187" s="1"/>
      <c r="E187" s="1"/>
      <c r="F187" s="1">
        <f t="shared" ca="1" si="3"/>
        <v>0</v>
      </c>
      <c r="G187" s="1"/>
      <c r="H187" s="1"/>
      <c r="I187" s="1"/>
      <c r="J187" s="1"/>
      <c r="K187" s="1"/>
      <c r="L187" s="1"/>
      <c r="M187" s="1"/>
      <c r="N187" s="1"/>
      <c r="O187" s="1"/>
    </row>
    <row r="188" spans="1:15" ht="15" customHeight="1" x14ac:dyDescent="0.25">
      <c r="A188" s="1"/>
      <c r="B188" s="12"/>
      <c r="C188" s="1"/>
      <c r="D188" s="1"/>
      <c r="E188" s="1"/>
      <c r="F188" s="1">
        <f t="shared" ca="1" si="3"/>
        <v>0</v>
      </c>
      <c r="G188" s="1"/>
      <c r="H188" s="1"/>
      <c r="I188" s="1"/>
      <c r="J188" s="1"/>
      <c r="K188" s="1"/>
      <c r="L188" s="1"/>
      <c r="M188" s="1"/>
      <c r="N188" s="1"/>
      <c r="O188" s="1"/>
    </row>
    <row r="189" spans="1:15" ht="15" customHeight="1" x14ac:dyDescent="0.25">
      <c r="A189" s="1"/>
      <c r="B189" s="12"/>
      <c r="C189" s="1"/>
      <c r="D189" s="1"/>
      <c r="E189" s="1"/>
      <c r="F189" s="1">
        <f t="shared" ca="1" si="3"/>
        <v>0</v>
      </c>
      <c r="G189" s="1"/>
      <c r="H189" s="1"/>
      <c r="I189" s="1"/>
      <c r="J189" s="1"/>
      <c r="K189" s="1"/>
      <c r="L189" s="1"/>
      <c r="M189" s="1"/>
      <c r="N189" s="1"/>
      <c r="O189" s="1"/>
    </row>
    <row r="190" spans="1:15" ht="15" customHeight="1" x14ac:dyDescent="0.25">
      <c r="A190" s="1"/>
      <c r="B190" s="12"/>
      <c r="C190" s="1"/>
      <c r="D190" s="1"/>
      <c r="E190" s="1"/>
      <c r="F190" s="1">
        <f t="shared" ca="1" si="3"/>
        <v>0</v>
      </c>
      <c r="G190" s="1"/>
      <c r="H190" s="1"/>
      <c r="I190" s="1"/>
      <c r="J190" s="1"/>
      <c r="K190" s="1"/>
      <c r="L190" s="1"/>
      <c r="M190" s="1"/>
      <c r="N190" s="1"/>
      <c r="O190" s="1"/>
    </row>
    <row r="191" spans="1:15" ht="15" customHeight="1" x14ac:dyDescent="0.25">
      <c r="A191" s="1"/>
      <c r="B191" s="12"/>
      <c r="C191" s="1"/>
      <c r="D191" s="1"/>
      <c r="E191" s="1"/>
      <c r="F191" s="1">
        <f t="shared" ca="1" si="3"/>
        <v>0</v>
      </c>
      <c r="G191" s="1"/>
      <c r="H191" s="1"/>
      <c r="I191" s="1"/>
      <c r="J191" s="1"/>
      <c r="K191" s="1"/>
      <c r="L191" s="1"/>
      <c r="M191" s="1"/>
      <c r="N191" s="1"/>
      <c r="O191" s="1"/>
    </row>
    <row r="192" spans="1:15" ht="15" customHeight="1" x14ac:dyDescent="0.25">
      <c r="A192" s="1"/>
      <c r="B192" s="12"/>
      <c r="C192" s="1"/>
      <c r="D192" s="1"/>
      <c r="E192" s="1"/>
      <c r="F192" s="1">
        <f t="shared" ca="1" si="3"/>
        <v>0</v>
      </c>
      <c r="G192" s="1"/>
      <c r="H192" s="1"/>
      <c r="I192" s="1"/>
      <c r="J192" s="1"/>
      <c r="K192" s="1"/>
      <c r="L192" s="1"/>
      <c r="M192" s="1"/>
      <c r="N192" s="1"/>
      <c r="O192" s="1"/>
    </row>
    <row r="193" spans="1:15" ht="15" customHeight="1" x14ac:dyDescent="0.25">
      <c r="A193" s="1"/>
      <c r="B193" s="12"/>
      <c r="C193" s="1"/>
      <c r="D193" s="1"/>
      <c r="E193" s="1"/>
      <c r="F193" s="1">
        <f t="shared" ca="1" si="3"/>
        <v>0</v>
      </c>
      <c r="G193" s="1"/>
      <c r="H193" s="1"/>
      <c r="I193" s="1"/>
      <c r="J193" s="1"/>
      <c r="K193" s="1"/>
      <c r="L193" s="1"/>
      <c r="M193" s="1"/>
      <c r="N193" s="1"/>
      <c r="O193" s="1"/>
    </row>
    <row r="194" spans="1:15" ht="15" customHeight="1" x14ac:dyDescent="0.25">
      <c r="A194" s="1"/>
      <c r="B194" s="12"/>
      <c r="C194" s="1"/>
      <c r="D194" s="1"/>
      <c r="E194" s="1"/>
      <c r="F194" s="1">
        <f t="shared" ca="1" si="3"/>
        <v>0</v>
      </c>
      <c r="G194" s="1"/>
      <c r="H194" s="1"/>
      <c r="I194" s="1"/>
      <c r="J194" s="1"/>
      <c r="K194" s="1"/>
      <c r="L194" s="1"/>
      <c r="M194" s="1"/>
      <c r="N194" s="1"/>
      <c r="O194" s="1"/>
    </row>
    <row r="195" spans="1:15" ht="15" customHeight="1" x14ac:dyDescent="0.25">
      <c r="A195" s="1"/>
      <c r="B195" s="12"/>
      <c r="C195" s="1"/>
      <c r="D195" s="1"/>
      <c r="E195" s="1"/>
      <c r="F195" s="1">
        <f t="shared" ca="1" si="3"/>
        <v>0</v>
      </c>
      <c r="G195" s="1"/>
      <c r="H195" s="1"/>
      <c r="I195" s="1"/>
      <c r="J195" s="1"/>
      <c r="K195" s="1"/>
      <c r="L195" s="1"/>
      <c r="M195" s="1"/>
      <c r="N195" s="1"/>
      <c r="O195" s="1"/>
    </row>
    <row r="196" spans="1:15" ht="15" customHeight="1" x14ac:dyDescent="0.25">
      <c r="A196" s="1"/>
      <c r="B196" s="12"/>
      <c r="C196" s="1"/>
      <c r="D196" s="1"/>
      <c r="E196" s="1"/>
      <c r="F196" s="1">
        <f t="shared" ca="1" si="3"/>
        <v>0</v>
      </c>
      <c r="G196" s="1"/>
      <c r="H196" s="1"/>
      <c r="I196" s="1"/>
      <c r="J196" s="1"/>
      <c r="K196" s="1"/>
      <c r="L196" s="1"/>
      <c r="M196" s="1"/>
      <c r="N196" s="1"/>
      <c r="O196" s="1"/>
    </row>
    <row r="197" spans="1:15" ht="15" customHeight="1" x14ac:dyDescent="0.25">
      <c r="A197" s="1"/>
      <c r="B197" s="12"/>
      <c r="C197" s="1"/>
      <c r="D197" s="1"/>
      <c r="E197" s="1"/>
      <c r="F197" s="1">
        <f t="shared" ca="1" si="3"/>
        <v>0</v>
      </c>
      <c r="G197" s="1"/>
      <c r="H197" s="1"/>
      <c r="I197" s="1"/>
      <c r="J197" s="1"/>
      <c r="K197" s="1"/>
      <c r="L197" s="1"/>
      <c r="M197" s="1"/>
      <c r="N197" s="1"/>
      <c r="O197" s="1"/>
    </row>
    <row r="198" spans="1:15" ht="15" customHeight="1" x14ac:dyDescent="0.25">
      <c r="A198" s="1"/>
      <c r="B198" s="12"/>
      <c r="C198" s="1"/>
      <c r="D198" s="1"/>
      <c r="E198" s="1"/>
      <c r="F198" s="1">
        <f t="shared" ca="1" si="3"/>
        <v>0</v>
      </c>
      <c r="G198" s="1"/>
      <c r="H198" s="1"/>
      <c r="I198" s="1"/>
      <c r="J198" s="1"/>
      <c r="K198" s="1"/>
      <c r="L198" s="1"/>
      <c r="M198" s="1"/>
      <c r="N198" s="1"/>
      <c r="O198" s="1"/>
    </row>
    <row r="199" spans="1:15" ht="15" customHeight="1" x14ac:dyDescent="0.25">
      <c r="A199" s="1"/>
      <c r="B199" s="12"/>
      <c r="C199" s="1"/>
      <c r="D199" s="1"/>
      <c r="E199" s="1"/>
      <c r="F199" s="1">
        <f t="shared" ca="1" si="3"/>
        <v>0</v>
      </c>
      <c r="G199" s="1"/>
      <c r="H199" s="1"/>
      <c r="I199" s="1"/>
      <c r="J199" s="1"/>
      <c r="K199" s="1"/>
      <c r="L199" s="1"/>
      <c r="M199" s="1"/>
      <c r="N199" s="1"/>
      <c r="O199" s="1"/>
    </row>
    <row r="200" spans="1:15" ht="15" customHeight="1" x14ac:dyDescent="0.25">
      <c r="A200" s="1"/>
      <c r="B200" s="12"/>
      <c r="C200" s="1"/>
      <c r="D200" s="1"/>
      <c r="E200" s="1"/>
      <c r="F200" s="1">
        <f t="shared" ca="1" si="3"/>
        <v>0</v>
      </c>
      <c r="G200" s="1"/>
      <c r="H200" s="1"/>
      <c r="I200" s="1"/>
      <c r="J200" s="1"/>
      <c r="K200" s="1"/>
      <c r="L200" s="1"/>
      <c r="M200" s="1"/>
      <c r="N200" s="1"/>
      <c r="O200" s="1"/>
    </row>
    <row r="201" spans="1:15" ht="15" customHeight="1" x14ac:dyDescent="0.25">
      <c r="A201" s="1"/>
      <c r="B201" s="12"/>
      <c r="C201" s="1"/>
      <c r="D201" s="1"/>
      <c r="E201" s="1"/>
      <c r="F201" s="1">
        <f t="shared" ca="1" si="3"/>
        <v>0</v>
      </c>
      <c r="G201" s="1"/>
      <c r="H201" s="1"/>
      <c r="I201" s="1"/>
      <c r="J201" s="1"/>
      <c r="K201" s="1"/>
      <c r="L201" s="1"/>
      <c r="M201" s="1"/>
      <c r="N201" s="1"/>
      <c r="O201" s="1"/>
    </row>
    <row r="202" spans="1:15" ht="15" customHeight="1" x14ac:dyDescent="0.25">
      <c r="A202" s="1"/>
      <c r="B202" s="12"/>
      <c r="C202" s="1"/>
      <c r="D202" s="1"/>
      <c r="E202" s="1"/>
      <c r="F202" s="1">
        <f t="shared" ca="1" si="3"/>
        <v>0</v>
      </c>
      <c r="G202" s="1"/>
      <c r="H202" s="1"/>
      <c r="I202" s="1"/>
      <c r="J202" s="1"/>
      <c r="K202" s="1"/>
      <c r="L202" s="1"/>
      <c r="M202" s="1"/>
      <c r="N202" s="1"/>
      <c r="O202" s="1"/>
    </row>
    <row r="203" spans="1:15" ht="15" customHeight="1" x14ac:dyDescent="0.25">
      <c r="A203" s="1"/>
      <c r="B203" s="12"/>
      <c r="C203" s="1"/>
      <c r="D203" s="1"/>
      <c r="E203" s="1"/>
      <c r="F203" s="1">
        <f t="shared" ca="1" si="3"/>
        <v>0</v>
      </c>
      <c r="G203" s="1"/>
      <c r="H203" s="1"/>
      <c r="I203" s="1"/>
      <c r="J203" s="1"/>
      <c r="K203" s="1"/>
      <c r="L203" s="1"/>
      <c r="M203" s="1"/>
      <c r="N203" s="1"/>
      <c r="O203" s="1"/>
    </row>
    <row r="204" spans="1:15" ht="15" customHeight="1" x14ac:dyDescent="0.25">
      <c r="A204" s="1"/>
      <c r="B204" s="12"/>
      <c r="C204" s="1"/>
      <c r="D204" s="1"/>
      <c r="E204" s="1"/>
      <c r="F204" s="1">
        <f t="shared" ca="1" si="3"/>
        <v>0</v>
      </c>
      <c r="G204" s="1"/>
      <c r="H204" s="1"/>
      <c r="I204" s="1"/>
      <c r="J204" s="1"/>
      <c r="K204" s="1"/>
      <c r="L204" s="1"/>
      <c r="M204" s="1"/>
      <c r="N204" s="1"/>
      <c r="O204" s="1"/>
    </row>
    <row r="205" spans="1:15" ht="15" customHeight="1" x14ac:dyDescent="0.25">
      <c r="A205" s="1"/>
      <c r="B205" s="12"/>
      <c r="C205" s="1"/>
      <c r="D205" s="1"/>
      <c r="E205" s="1"/>
      <c r="F205" s="1">
        <f t="shared" ca="1" si="3"/>
        <v>0</v>
      </c>
      <c r="G205" s="1"/>
      <c r="H205" s="1"/>
      <c r="I205" s="1"/>
      <c r="J205" s="1"/>
      <c r="K205" s="1"/>
      <c r="L205" s="1"/>
      <c r="M205" s="1"/>
      <c r="N205" s="1"/>
      <c r="O205" s="1"/>
    </row>
    <row r="206" spans="1:15" ht="15" customHeight="1" x14ac:dyDescent="0.25">
      <c r="A206" s="1"/>
      <c r="B206" s="12"/>
      <c r="C206" s="1"/>
      <c r="D206" s="1"/>
      <c r="E206" s="1"/>
      <c r="F206" s="1">
        <f t="shared" ca="1" si="3"/>
        <v>0</v>
      </c>
      <c r="G206" s="1"/>
      <c r="H206" s="1"/>
      <c r="I206" s="1"/>
      <c r="J206" s="1"/>
      <c r="K206" s="1"/>
      <c r="L206" s="1"/>
      <c r="M206" s="1"/>
      <c r="N206" s="1"/>
      <c r="O206" s="1"/>
    </row>
    <row r="207" spans="1:15" ht="15" customHeight="1" x14ac:dyDescent="0.25">
      <c r="A207" s="1"/>
      <c r="B207" s="12"/>
      <c r="C207" s="1"/>
      <c r="D207" s="1"/>
      <c r="E207" s="1"/>
      <c r="F207" s="1">
        <f t="shared" ca="1" si="3"/>
        <v>0</v>
      </c>
      <c r="G207" s="1"/>
      <c r="H207" s="1"/>
      <c r="I207" s="1"/>
      <c r="J207" s="1"/>
      <c r="K207" s="1"/>
      <c r="L207" s="1"/>
      <c r="M207" s="1"/>
      <c r="N207" s="1"/>
      <c r="O207" s="1"/>
    </row>
    <row r="208" spans="1:15" ht="15" customHeight="1" x14ac:dyDescent="0.25">
      <c r="A208" s="1"/>
      <c r="B208" s="12"/>
      <c r="C208" s="1"/>
      <c r="D208" s="1"/>
      <c r="E208" s="1"/>
      <c r="F208" s="1">
        <f t="shared" ca="1" si="3"/>
        <v>0</v>
      </c>
      <c r="G208" s="1"/>
      <c r="H208" s="1"/>
      <c r="I208" s="1"/>
      <c r="J208" s="1"/>
      <c r="K208" s="1"/>
      <c r="L208" s="1"/>
      <c r="M208" s="1"/>
      <c r="N208" s="1"/>
      <c r="O208" s="1"/>
    </row>
    <row r="209" spans="1:15" ht="15" customHeight="1" x14ac:dyDescent="0.25">
      <c r="A209" s="1"/>
      <c r="B209" s="12"/>
      <c r="C209" s="1"/>
      <c r="D209" s="1"/>
      <c r="E209" s="1"/>
      <c r="F209" s="1">
        <f t="shared" ca="1" si="3"/>
        <v>0</v>
      </c>
      <c r="G209" s="1"/>
      <c r="H209" s="1"/>
      <c r="I209" s="1"/>
      <c r="J209" s="1"/>
      <c r="K209" s="1"/>
      <c r="L209" s="1"/>
      <c r="M209" s="1"/>
      <c r="N209" s="1"/>
      <c r="O209" s="1"/>
    </row>
    <row r="210" spans="1:15" ht="15" customHeight="1" x14ac:dyDescent="0.25">
      <c r="A210" s="1"/>
      <c r="B210" s="12"/>
      <c r="C210" s="1"/>
      <c r="D210" s="1"/>
      <c r="E210" s="1"/>
      <c r="F210" s="1">
        <f t="shared" ca="1" si="3"/>
        <v>0</v>
      </c>
      <c r="G210" s="1"/>
      <c r="H210" s="1"/>
      <c r="I210" s="1"/>
      <c r="J210" s="1"/>
      <c r="K210" s="1"/>
      <c r="L210" s="1"/>
      <c r="M210" s="1"/>
      <c r="N210" s="1"/>
      <c r="O210" s="1"/>
    </row>
    <row r="211" spans="1:15" ht="15" customHeight="1" x14ac:dyDescent="0.25">
      <c r="A211" s="1"/>
      <c r="B211" s="12"/>
      <c r="C211" s="1"/>
      <c r="D211" s="1"/>
      <c r="E211" s="1"/>
      <c r="F211" s="1">
        <f t="shared" ca="1" si="3"/>
        <v>0</v>
      </c>
      <c r="G211" s="1"/>
      <c r="H211" s="1"/>
      <c r="I211" s="1"/>
      <c r="J211" s="1"/>
      <c r="K211" s="1"/>
      <c r="L211" s="1"/>
      <c r="M211" s="1"/>
      <c r="N211" s="1"/>
      <c r="O211" s="1"/>
    </row>
    <row r="212" spans="1:15" ht="15" customHeight="1" x14ac:dyDescent="0.25">
      <c r="A212" s="1"/>
      <c r="B212" s="12"/>
      <c r="C212" s="1"/>
      <c r="D212" s="1"/>
      <c r="E212" s="1"/>
      <c r="F212" s="1">
        <f t="shared" ca="1" si="3"/>
        <v>0</v>
      </c>
      <c r="G212" s="1"/>
      <c r="H212" s="1"/>
      <c r="I212" s="1"/>
      <c r="J212" s="1"/>
      <c r="K212" s="1"/>
      <c r="L212" s="1"/>
      <c r="M212" s="1"/>
      <c r="N212" s="1"/>
      <c r="O212" s="1"/>
    </row>
    <row r="213" spans="1:15" ht="15" customHeight="1" x14ac:dyDescent="0.25">
      <c r="A213" s="1"/>
      <c r="B213" s="12"/>
      <c r="C213" s="1"/>
      <c r="D213" s="1"/>
      <c r="E213" s="1"/>
      <c r="F213" s="1">
        <f t="shared" ca="1" si="3"/>
        <v>0</v>
      </c>
      <c r="G213" s="1"/>
      <c r="H213" s="1"/>
      <c r="I213" s="1"/>
      <c r="J213" s="1"/>
      <c r="K213" s="1"/>
      <c r="L213" s="1"/>
      <c r="M213" s="1"/>
      <c r="N213" s="1"/>
      <c r="O213" s="1"/>
    </row>
    <row r="214" spans="1:15" ht="15" customHeight="1" x14ac:dyDescent="0.25">
      <c r="A214" s="1"/>
      <c r="B214" s="12"/>
      <c r="C214" s="1"/>
      <c r="D214" s="1"/>
      <c r="E214" s="1"/>
      <c r="F214" s="1">
        <f t="shared" ca="1" si="3"/>
        <v>0</v>
      </c>
      <c r="G214" s="1"/>
      <c r="H214" s="1"/>
      <c r="I214" s="1"/>
      <c r="J214" s="1"/>
      <c r="K214" s="1"/>
      <c r="L214" s="1"/>
      <c r="M214" s="1"/>
      <c r="N214" s="1"/>
      <c r="O214" s="1"/>
    </row>
    <row r="215" spans="1:15" ht="15" customHeight="1" x14ac:dyDescent="0.25">
      <c r="A215" s="1"/>
      <c r="B215" s="12"/>
      <c r="C215" s="1"/>
      <c r="D215" s="1"/>
      <c r="E215" s="1"/>
      <c r="F215" s="1">
        <f t="shared" ca="1" si="3"/>
        <v>0</v>
      </c>
      <c r="G215" s="1"/>
      <c r="H215" s="1"/>
      <c r="I215" s="1"/>
      <c r="J215" s="1"/>
      <c r="K215" s="1"/>
      <c r="L215" s="1"/>
      <c r="M215" s="1"/>
      <c r="N215" s="1"/>
      <c r="O215" s="1"/>
    </row>
    <row r="216" spans="1:15" ht="15" customHeight="1" x14ac:dyDescent="0.25">
      <c r="A216" s="1"/>
      <c r="B216" s="12"/>
      <c r="C216" s="1"/>
      <c r="D216" s="1"/>
      <c r="E216" s="1"/>
      <c r="F216" s="1">
        <f t="shared" ca="1" si="3"/>
        <v>0</v>
      </c>
      <c r="G216" s="1"/>
      <c r="H216" s="1"/>
      <c r="I216" s="1"/>
      <c r="J216" s="1"/>
      <c r="K216" s="1"/>
      <c r="L216" s="1"/>
      <c r="M216" s="1"/>
      <c r="N216" s="1"/>
      <c r="O216" s="1"/>
    </row>
    <row r="217" spans="1:15" ht="15" customHeight="1" x14ac:dyDescent="0.25">
      <c r="A217" s="1"/>
      <c r="B217" s="12"/>
      <c r="C217" s="1"/>
      <c r="D217" s="1"/>
      <c r="E217" s="1"/>
      <c r="F217" s="1">
        <f t="shared" ca="1" si="3"/>
        <v>0</v>
      </c>
      <c r="G217" s="1"/>
      <c r="H217" s="1"/>
      <c r="I217" s="1"/>
      <c r="J217" s="1"/>
      <c r="K217" s="1"/>
      <c r="L217" s="1"/>
      <c r="M217" s="1"/>
      <c r="N217" s="1"/>
      <c r="O217" s="1"/>
    </row>
    <row r="218" spans="1:15" ht="15" customHeight="1" x14ac:dyDescent="0.25">
      <c r="A218" s="1"/>
      <c r="B218" s="12"/>
      <c r="C218" s="1"/>
      <c r="D218" s="1"/>
      <c r="E218" s="1"/>
      <c r="F218" s="1">
        <f t="shared" ca="1" si="3"/>
        <v>0</v>
      </c>
      <c r="G218" s="1"/>
      <c r="H218" s="1"/>
      <c r="I218" s="1"/>
      <c r="J218" s="1"/>
      <c r="K218" s="1"/>
      <c r="L218" s="1"/>
      <c r="M218" s="1"/>
      <c r="N218" s="1"/>
      <c r="O218" s="1"/>
    </row>
    <row r="219" spans="1:15" ht="15" customHeight="1" x14ac:dyDescent="0.25">
      <c r="A219" s="1"/>
      <c r="B219" s="12"/>
      <c r="C219" s="1"/>
      <c r="D219" s="1"/>
      <c r="E219" s="1"/>
      <c r="F219" s="1">
        <f t="shared" ca="1" si="3"/>
        <v>0</v>
      </c>
      <c r="G219" s="1"/>
      <c r="H219" s="1"/>
      <c r="I219" s="1"/>
      <c r="J219" s="1"/>
      <c r="K219" s="1"/>
      <c r="L219" s="1"/>
      <c r="M219" s="1"/>
      <c r="N219" s="1"/>
      <c r="O219" s="1"/>
    </row>
    <row r="220" spans="1:15" ht="15" customHeight="1" x14ac:dyDescent="0.25">
      <c r="A220" s="1"/>
      <c r="B220" s="12"/>
      <c r="C220" s="1"/>
      <c r="D220" s="1"/>
      <c r="E220" s="1"/>
      <c r="F220" s="1">
        <f t="shared" ca="1" si="3"/>
        <v>0</v>
      </c>
      <c r="G220" s="1"/>
      <c r="H220" s="1"/>
      <c r="I220" s="1"/>
      <c r="J220" s="1"/>
      <c r="K220" s="1"/>
      <c r="L220" s="1"/>
      <c r="M220" s="1"/>
      <c r="N220" s="1"/>
      <c r="O220" s="1"/>
    </row>
    <row r="221" spans="1:15" ht="15" customHeight="1" x14ac:dyDescent="0.25">
      <c r="A221" s="1"/>
      <c r="B221" s="12"/>
      <c r="C221" s="1"/>
      <c r="D221" s="1"/>
      <c r="E221" s="1"/>
      <c r="F221" s="1">
        <f t="shared" ca="1" si="3"/>
        <v>0</v>
      </c>
      <c r="G221" s="1"/>
      <c r="H221" s="1"/>
      <c r="I221" s="1"/>
      <c r="J221" s="1"/>
      <c r="K221" s="1"/>
      <c r="L221" s="1"/>
      <c r="M221" s="1"/>
      <c r="N221" s="1"/>
      <c r="O221" s="1"/>
    </row>
    <row r="222" spans="1:15" ht="15" customHeight="1" x14ac:dyDescent="0.25">
      <c r="A222" s="1"/>
      <c r="B222" s="12"/>
      <c r="C222" s="1"/>
      <c r="D222" s="1"/>
      <c r="E222" s="1"/>
      <c r="F222" s="1">
        <f t="shared" ca="1" si="3"/>
        <v>0</v>
      </c>
      <c r="G222" s="1"/>
      <c r="H222" s="1"/>
      <c r="I222" s="1"/>
      <c r="J222" s="1"/>
      <c r="K222" s="1"/>
      <c r="L222" s="1"/>
      <c r="M222" s="1"/>
      <c r="N222" s="1"/>
      <c r="O222" s="1"/>
    </row>
    <row r="223" spans="1:15" ht="15" customHeight="1" x14ac:dyDescent="0.25">
      <c r="A223" s="1"/>
      <c r="B223" s="12"/>
      <c r="C223" s="1"/>
      <c r="D223" s="1"/>
      <c r="E223" s="1"/>
      <c r="F223" s="1">
        <f t="shared" ca="1" si="3"/>
        <v>0</v>
      </c>
      <c r="G223" s="1"/>
      <c r="H223" s="1"/>
      <c r="I223" s="1"/>
      <c r="J223" s="1"/>
      <c r="K223" s="1"/>
      <c r="L223" s="1"/>
      <c r="M223" s="1"/>
      <c r="N223" s="1"/>
      <c r="O223" s="1"/>
    </row>
    <row r="224" spans="1:15" ht="15" customHeight="1" x14ac:dyDescent="0.25">
      <c r="A224" s="1"/>
      <c r="B224" s="12"/>
      <c r="C224" s="1"/>
      <c r="D224" s="1"/>
      <c r="E224" s="1"/>
      <c r="F224" s="1">
        <f t="shared" ca="1" si="3"/>
        <v>0</v>
      </c>
      <c r="G224" s="1"/>
      <c r="H224" s="1"/>
      <c r="I224" s="1"/>
      <c r="J224" s="1"/>
      <c r="K224" s="1"/>
      <c r="L224" s="1"/>
      <c r="M224" s="1"/>
      <c r="N224" s="1"/>
      <c r="O224" s="1"/>
    </row>
    <row r="225" spans="1:15" ht="15" customHeight="1" x14ac:dyDescent="0.25">
      <c r="A225" s="1"/>
      <c r="B225" s="12"/>
      <c r="C225" s="1"/>
      <c r="D225" s="1"/>
      <c r="E225" s="1"/>
      <c r="F225" s="1">
        <f t="shared" ca="1" si="3"/>
        <v>0</v>
      </c>
      <c r="G225" s="1"/>
      <c r="H225" s="1"/>
      <c r="I225" s="1"/>
      <c r="J225" s="1"/>
      <c r="K225" s="1"/>
      <c r="L225" s="1"/>
      <c r="M225" s="1"/>
      <c r="N225" s="1"/>
      <c r="O225" s="1"/>
    </row>
    <row r="226" spans="1:15" ht="15" customHeight="1" x14ac:dyDescent="0.25">
      <c r="A226" s="1"/>
      <c r="B226" s="12"/>
      <c r="C226" s="1"/>
      <c r="D226" s="1"/>
      <c r="E226" s="1"/>
      <c r="F226" s="1">
        <f t="shared" ca="1" si="3"/>
        <v>0</v>
      </c>
      <c r="G226" s="1"/>
      <c r="H226" s="1"/>
      <c r="I226" s="1"/>
      <c r="J226" s="1"/>
      <c r="K226" s="1"/>
      <c r="L226" s="1"/>
      <c r="M226" s="1"/>
      <c r="N226" s="1"/>
      <c r="O226" s="1"/>
    </row>
    <row r="227" spans="1:15" ht="15" customHeight="1" x14ac:dyDescent="0.25">
      <c r="A227" s="1"/>
      <c r="B227" s="12"/>
      <c r="C227" s="1"/>
      <c r="D227" s="1"/>
      <c r="E227" s="1"/>
      <c r="F227" s="1">
        <f t="shared" ca="1" si="3"/>
        <v>0</v>
      </c>
      <c r="G227" s="1"/>
      <c r="H227" s="1"/>
      <c r="I227" s="1"/>
      <c r="J227" s="1"/>
      <c r="K227" s="1"/>
      <c r="L227" s="1"/>
      <c r="M227" s="1"/>
      <c r="N227" s="1"/>
      <c r="O227" s="1"/>
    </row>
    <row r="228" spans="1:15" ht="15" customHeight="1" x14ac:dyDescent="0.25">
      <c r="A228" s="1"/>
      <c r="B228" s="12"/>
      <c r="C228" s="1"/>
      <c r="D228" s="1"/>
      <c r="E228" s="1"/>
      <c r="F228" s="1">
        <f t="shared" ca="1" si="3"/>
        <v>0</v>
      </c>
      <c r="G228" s="1"/>
      <c r="H228" s="1"/>
      <c r="I228" s="1"/>
      <c r="J228" s="1"/>
      <c r="K228" s="1"/>
      <c r="L228" s="1"/>
      <c r="M228" s="1"/>
      <c r="N228" s="1"/>
      <c r="O228" s="1"/>
    </row>
    <row r="229" spans="1:15" ht="15" customHeight="1" x14ac:dyDescent="0.25">
      <c r="A229" s="1"/>
      <c r="B229" s="12"/>
      <c r="C229" s="1"/>
      <c r="D229" s="1"/>
      <c r="E229" s="1"/>
      <c r="F229" s="1">
        <f t="shared" ca="1" si="3"/>
        <v>0</v>
      </c>
      <c r="G229" s="1"/>
      <c r="H229" s="1"/>
      <c r="I229" s="1"/>
      <c r="J229" s="1"/>
      <c r="K229" s="1"/>
      <c r="L229" s="1"/>
      <c r="M229" s="1"/>
      <c r="N229" s="1"/>
      <c r="O229" s="1"/>
    </row>
    <row r="230" spans="1:15" ht="15" customHeight="1" x14ac:dyDescent="0.25">
      <c r="A230" s="1"/>
      <c r="B230" s="12"/>
      <c r="C230" s="1"/>
      <c r="D230" s="1"/>
      <c r="E230" s="1"/>
      <c r="F230" s="1">
        <f t="shared" ref="F230:F283" ca="1" si="4">IF(OR(G230="",H230="",I230=""),F230=" ",IF(MAX(G230,H230,I230)=G230,"USABLE",IF(MAX(G230,H230,I230)=H230,"DAMAGED",IF(MAX(G230,H230,I230)=I230,"REPAIR",""))))</f>
        <v>0</v>
      </c>
      <c r="G230" s="1"/>
      <c r="H230" s="1"/>
      <c r="I230" s="1"/>
      <c r="J230" s="1"/>
      <c r="K230" s="1"/>
      <c r="L230" s="1"/>
      <c r="M230" s="1"/>
      <c r="N230" s="1"/>
      <c r="O230" s="1"/>
    </row>
    <row r="231" spans="1:15" ht="15" customHeight="1" x14ac:dyDescent="0.25">
      <c r="A231" s="1"/>
      <c r="B231" s="12"/>
      <c r="C231" s="1"/>
      <c r="D231" s="1"/>
      <c r="E231" s="1"/>
      <c r="F231" s="1">
        <f t="shared" ca="1" si="4"/>
        <v>0</v>
      </c>
      <c r="G231" s="1"/>
      <c r="H231" s="1"/>
      <c r="I231" s="1"/>
      <c r="J231" s="1"/>
      <c r="K231" s="1"/>
      <c r="L231" s="1"/>
      <c r="M231" s="1"/>
      <c r="N231" s="1"/>
      <c r="O231" s="1"/>
    </row>
    <row r="232" spans="1:15" ht="15" customHeight="1" x14ac:dyDescent="0.25">
      <c r="A232" s="1"/>
      <c r="B232" s="12"/>
      <c r="C232" s="1"/>
      <c r="D232" s="1"/>
      <c r="E232" s="1"/>
      <c r="F232" s="1">
        <f t="shared" ca="1" si="4"/>
        <v>0</v>
      </c>
      <c r="G232" s="1"/>
      <c r="H232" s="1"/>
      <c r="I232" s="1"/>
      <c r="J232" s="1"/>
      <c r="K232" s="1"/>
      <c r="L232" s="1"/>
      <c r="M232" s="1"/>
      <c r="N232" s="1"/>
      <c r="O232" s="1"/>
    </row>
    <row r="233" spans="1:15" ht="15" customHeight="1" x14ac:dyDescent="0.25">
      <c r="A233" s="1"/>
      <c r="B233" s="12"/>
      <c r="C233" s="1"/>
      <c r="D233" s="1"/>
      <c r="E233" s="1"/>
      <c r="F233" s="1">
        <f t="shared" ca="1" si="4"/>
        <v>0</v>
      </c>
      <c r="G233" s="1"/>
      <c r="H233" s="1"/>
      <c r="I233" s="1"/>
      <c r="J233" s="1"/>
      <c r="K233" s="1"/>
      <c r="L233" s="1"/>
      <c r="M233" s="1"/>
      <c r="N233" s="1"/>
      <c r="O233" s="1"/>
    </row>
    <row r="234" spans="1:15" ht="15" customHeight="1" x14ac:dyDescent="0.25">
      <c r="A234" s="1"/>
      <c r="B234" s="12"/>
      <c r="C234" s="1"/>
      <c r="D234" s="1"/>
      <c r="E234" s="1"/>
      <c r="F234" s="1">
        <f t="shared" ca="1" si="4"/>
        <v>0</v>
      </c>
      <c r="G234" s="1"/>
      <c r="H234" s="1"/>
      <c r="I234" s="1"/>
      <c r="J234" s="1"/>
      <c r="K234" s="1"/>
      <c r="L234" s="1"/>
      <c r="M234" s="1"/>
      <c r="N234" s="1"/>
      <c r="O234" s="1"/>
    </row>
    <row r="235" spans="1:15" ht="15" customHeight="1" x14ac:dyDescent="0.25">
      <c r="A235" s="1"/>
      <c r="B235" s="12"/>
      <c r="C235" s="1"/>
      <c r="D235" s="1"/>
      <c r="E235" s="1"/>
      <c r="F235" s="1">
        <f t="shared" ca="1" si="4"/>
        <v>0</v>
      </c>
      <c r="G235" s="1"/>
      <c r="H235" s="1"/>
      <c r="I235" s="1"/>
      <c r="J235" s="1"/>
      <c r="K235" s="1"/>
      <c r="L235" s="1"/>
      <c r="M235" s="1"/>
      <c r="N235" s="1"/>
      <c r="O235" s="1"/>
    </row>
    <row r="236" spans="1:15" ht="15" customHeight="1" x14ac:dyDescent="0.25">
      <c r="A236" s="1"/>
      <c r="B236" s="12"/>
      <c r="C236" s="1"/>
      <c r="D236" s="1"/>
      <c r="E236" s="1"/>
      <c r="F236" s="1">
        <f t="shared" ca="1" si="4"/>
        <v>0</v>
      </c>
      <c r="G236" s="1"/>
      <c r="H236" s="1"/>
      <c r="I236" s="1"/>
      <c r="J236" s="1"/>
      <c r="K236" s="1"/>
      <c r="L236" s="1"/>
      <c r="M236" s="1"/>
      <c r="N236" s="1"/>
      <c r="O236" s="1"/>
    </row>
    <row r="237" spans="1:15" ht="15" customHeight="1" x14ac:dyDescent="0.25">
      <c r="A237" s="1"/>
      <c r="B237" s="12"/>
      <c r="C237" s="1"/>
      <c r="D237" s="1"/>
      <c r="E237" s="1"/>
      <c r="F237" s="1">
        <f t="shared" ca="1" si="4"/>
        <v>0</v>
      </c>
      <c r="G237" s="1"/>
      <c r="H237" s="1"/>
      <c r="I237" s="1"/>
      <c r="J237" s="1"/>
      <c r="K237" s="1"/>
      <c r="L237" s="1"/>
      <c r="M237" s="1"/>
      <c r="N237" s="1"/>
      <c r="O237" s="1"/>
    </row>
    <row r="238" spans="1:15" ht="15" customHeight="1" x14ac:dyDescent="0.25">
      <c r="A238" s="1"/>
      <c r="B238" s="12"/>
      <c r="C238" s="1"/>
      <c r="D238" s="1"/>
      <c r="E238" s="1"/>
      <c r="F238" s="1">
        <f t="shared" ca="1" si="4"/>
        <v>0</v>
      </c>
      <c r="G238" s="1"/>
      <c r="H238" s="1"/>
      <c r="I238" s="1"/>
      <c r="J238" s="1"/>
      <c r="K238" s="1"/>
      <c r="L238" s="1"/>
      <c r="M238" s="1"/>
      <c r="N238" s="1"/>
      <c r="O238" s="1"/>
    </row>
    <row r="239" spans="1:15" ht="15" customHeight="1" x14ac:dyDescent="0.25">
      <c r="A239" s="1"/>
      <c r="B239" s="12"/>
      <c r="C239" s="1"/>
      <c r="D239" s="1"/>
      <c r="E239" s="1"/>
      <c r="F239" s="1">
        <f t="shared" ca="1" si="4"/>
        <v>0</v>
      </c>
      <c r="G239" s="1"/>
      <c r="H239" s="1"/>
      <c r="I239" s="1"/>
      <c r="J239" s="1"/>
      <c r="K239" s="1"/>
      <c r="L239" s="1"/>
      <c r="M239" s="1"/>
      <c r="N239" s="1"/>
      <c r="O239" s="1"/>
    </row>
    <row r="240" spans="1:15" ht="15" customHeight="1" x14ac:dyDescent="0.25">
      <c r="A240" s="1"/>
      <c r="B240" s="12"/>
      <c r="C240" s="1"/>
      <c r="D240" s="1"/>
      <c r="E240" s="1"/>
      <c r="F240" s="1">
        <f t="shared" ca="1" si="4"/>
        <v>0</v>
      </c>
      <c r="G240" s="1"/>
      <c r="H240" s="1"/>
      <c r="I240" s="1"/>
      <c r="J240" s="1"/>
      <c r="K240" s="1"/>
      <c r="L240" s="1"/>
      <c r="M240" s="1"/>
      <c r="N240" s="1"/>
      <c r="O240" s="1"/>
    </row>
    <row r="241" spans="1:15" ht="15" customHeight="1" x14ac:dyDescent="0.25">
      <c r="A241" s="1"/>
      <c r="B241" s="12"/>
      <c r="C241" s="1"/>
      <c r="D241" s="1"/>
      <c r="E241" s="1"/>
      <c r="F241" s="1">
        <f t="shared" ca="1" si="4"/>
        <v>0</v>
      </c>
      <c r="G241" s="1"/>
      <c r="H241" s="1"/>
      <c r="I241" s="1"/>
      <c r="J241" s="1"/>
      <c r="K241" s="1"/>
      <c r="L241" s="1"/>
      <c r="M241" s="1"/>
      <c r="N241" s="1"/>
      <c r="O241" s="1"/>
    </row>
    <row r="242" spans="1:15" ht="15" customHeight="1" x14ac:dyDescent="0.25">
      <c r="A242" s="1"/>
      <c r="B242" s="12"/>
      <c r="C242" s="1"/>
      <c r="D242" s="1"/>
      <c r="E242" s="1"/>
      <c r="F242" s="1">
        <f t="shared" ca="1" si="4"/>
        <v>0</v>
      </c>
      <c r="G242" s="1"/>
      <c r="H242" s="1"/>
      <c r="I242" s="1"/>
      <c r="J242" s="1"/>
      <c r="K242" s="1"/>
      <c r="L242" s="1"/>
      <c r="M242" s="1"/>
      <c r="N242" s="1"/>
      <c r="O242" s="1"/>
    </row>
    <row r="243" spans="1:15" ht="15" customHeight="1" x14ac:dyDescent="0.25">
      <c r="A243" s="1"/>
      <c r="B243" s="12"/>
      <c r="C243" s="1"/>
      <c r="D243" s="1"/>
      <c r="E243" s="1"/>
      <c r="F243" s="1">
        <f t="shared" ca="1" si="4"/>
        <v>0</v>
      </c>
      <c r="G243" s="1"/>
      <c r="H243" s="1"/>
      <c r="I243" s="1"/>
      <c r="J243" s="1"/>
      <c r="K243" s="1"/>
      <c r="L243" s="1"/>
      <c r="M243" s="1"/>
      <c r="N243" s="1"/>
      <c r="O243" s="1"/>
    </row>
    <row r="244" spans="1:15" ht="15" customHeight="1" x14ac:dyDescent="0.25">
      <c r="A244" s="1"/>
      <c r="B244" s="12"/>
      <c r="C244" s="1"/>
      <c r="D244" s="1"/>
      <c r="E244" s="1"/>
      <c r="F244" s="1">
        <f t="shared" ca="1" si="4"/>
        <v>0</v>
      </c>
      <c r="G244" s="1"/>
      <c r="H244" s="1"/>
      <c r="I244" s="1"/>
      <c r="J244" s="1"/>
      <c r="K244" s="1"/>
      <c r="L244" s="1"/>
      <c r="M244" s="1"/>
      <c r="N244" s="1"/>
      <c r="O244" s="1"/>
    </row>
    <row r="245" spans="1:15" ht="15" customHeight="1" x14ac:dyDescent="0.25">
      <c r="A245" s="1"/>
      <c r="B245" s="12"/>
      <c r="C245" s="1"/>
      <c r="D245" s="1"/>
      <c r="E245" s="1"/>
      <c r="F245" s="1">
        <f t="shared" ca="1" si="4"/>
        <v>0</v>
      </c>
      <c r="G245" s="1"/>
      <c r="H245" s="1"/>
      <c r="I245" s="1"/>
      <c r="J245" s="1"/>
      <c r="K245" s="1"/>
      <c r="L245" s="1"/>
      <c r="M245" s="1"/>
      <c r="N245" s="1"/>
      <c r="O245" s="1"/>
    </row>
    <row r="246" spans="1:15" ht="15" customHeight="1" x14ac:dyDescent="0.25">
      <c r="A246" s="1"/>
      <c r="B246" s="12"/>
      <c r="C246" s="1"/>
      <c r="D246" s="1"/>
      <c r="E246" s="1"/>
      <c r="F246" s="1">
        <f t="shared" ca="1" si="4"/>
        <v>0</v>
      </c>
      <c r="G246" s="1"/>
      <c r="H246" s="1"/>
      <c r="I246" s="1"/>
      <c r="J246" s="1"/>
      <c r="K246" s="1"/>
      <c r="L246" s="1"/>
      <c r="M246" s="1"/>
      <c r="N246" s="1"/>
      <c r="O246" s="1"/>
    </row>
    <row r="247" spans="1:15" ht="15" customHeight="1" x14ac:dyDescent="0.25">
      <c r="A247" s="1"/>
      <c r="B247" s="12"/>
      <c r="C247" s="1"/>
      <c r="D247" s="1"/>
      <c r="E247" s="1"/>
      <c r="F247" s="1">
        <f t="shared" ca="1" si="4"/>
        <v>0</v>
      </c>
      <c r="G247" s="1"/>
      <c r="H247" s="1"/>
      <c r="I247" s="1"/>
      <c r="J247" s="1"/>
      <c r="K247" s="1"/>
      <c r="L247" s="1"/>
      <c r="M247" s="1"/>
      <c r="N247" s="1"/>
      <c r="O247" s="1"/>
    </row>
    <row r="248" spans="1:15" ht="15" customHeight="1" x14ac:dyDescent="0.25">
      <c r="A248" s="1"/>
      <c r="B248" s="12"/>
      <c r="C248" s="1"/>
      <c r="D248" s="1"/>
      <c r="E248" s="1"/>
      <c r="F248" s="1">
        <f t="shared" ca="1" si="4"/>
        <v>0</v>
      </c>
      <c r="G248" s="1"/>
      <c r="H248" s="1"/>
      <c r="I248" s="1"/>
      <c r="J248" s="1"/>
      <c r="K248" s="1"/>
      <c r="L248" s="1"/>
      <c r="M248" s="1"/>
      <c r="N248" s="1"/>
      <c r="O248" s="1"/>
    </row>
    <row r="249" spans="1:15" ht="15" customHeight="1" x14ac:dyDescent="0.25">
      <c r="A249" s="1"/>
      <c r="B249" s="12"/>
      <c r="C249" s="1"/>
      <c r="D249" s="1"/>
      <c r="E249" s="1"/>
      <c r="F249" s="1">
        <f t="shared" ca="1" si="4"/>
        <v>0</v>
      </c>
      <c r="G249" s="1"/>
      <c r="H249" s="1"/>
      <c r="I249" s="1"/>
      <c r="J249" s="1"/>
      <c r="K249" s="1"/>
      <c r="L249" s="1"/>
      <c r="M249" s="1"/>
      <c r="N249" s="1"/>
      <c r="O249" s="1"/>
    </row>
    <row r="250" spans="1:15" ht="15" customHeight="1" x14ac:dyDescent="0.25">
      <c r="A250" s="1"/>
      <c r="B250" s="12"/>
      <c r="C250" s="1"/>
      <c r="D250" s="1"/>
      <c r="E250" s="1"/>
      <c r="F250" s="1">
        <f t="shared" ca="1" si="4"/>
        <v>0</v>
      </c>
      <c r="G250" s="1"/>
      <c r="H250" s="1"/>
      <c r="I250" s="1"/>
      <c r="J250" s="1"/>
      <c r="K250" s="1"/>
      <c r="L250" s="1"/>
      <c r="M250" s="1"/>
      <c r="N250" s="1"/>
      <c r="O250" s="1"/>
    </row>
    <row r="251" spans="1:15" ht="15" customHeight="1" x14ac:dyDescent="0.25">
      <c r="A251" s="1"/>
      <c r="B251" s="12"/>
      <c r="C251" s="1"/>
      <c r="D251" s="1"/>
      <c r="E251" s="1"/>
      <c r="F251" s="1">
        <f t="shared" ca="1" si="4"/>
        <v>0</v>
      </c>
      <c r="G251" s="1"/>
      <c r="H251" s="1"/>
      <c r="I251" s="1"/>
      <c r="J251" s="1"/>
      <c r="K251" s="1"/>
      <c r="L251" s="1"/>
      <c r="M251" s="1"/>
      <c r="N251" s="1"/>
      <c r="O251" s="1"/>
    </row>
    <row r="252" spans="1:15" ht="15" customHeight="1" x14ac:dyDescent="0.25">
      <c r="A252" s="1"/>
      <c r="B252" s="12"/>
      <c r="C252" s="1"/>
      <c r="D252" s="1"/>
      <c r="E252" s="1"/>
      <c r="F252" s="1">
        <f t="shared" ca="1" si="4"/>
        <v>0</v>
      </c>
      <c r="G252" s="1"/>
      <c r="H252" s="1"/>
      <c r="I252" s="1"/>
      <c r="J252" s="1"/>
      <c r="K252" s="1"/>
      <c r="L252" s="1"/>
      <c r="M252" s="1"/>
      <c r="N252" s="1"/>
      <c r="O252" s="1"/>
    </row>
    <row r="253" spans="1:15" ht="15" customHeight="1" x14ac:dyDescent="0.25">
      <c r="A253" s="1"/>
      <c r="B253" s="12"/>
      <c r="C253" s="1"/>
      <c r="D253" s="1"/>
      <c r="E253" s="1"/>
      <c r="F253" s="1">
        <f t="shared" ca="1" si="4"/>
        <v>0</v>
      </c>
      <c r="G253" s="1"/>
      <c r="H253" s="1"/>
      <c r="I253" s="1"/>
      <c r="J253" s="1"/>
      <c r="K253" s="1"/>
      <c r="L253" s="1"/>
      <c r="M253" s="1"/>
      <c r="N253" s="1"/>
      <c r="O253" s="1"/>
    </row>
    <row r="254" spans="1:15" ht="15" customHeight="1" x14ac:dyDescent="0.25">
      <c r="A254" s="1"/>
      <c r="B254" s="12"/>
      <c r="C254" s="1"/>
      <c r="D254" s="1"/>
      <c r="E254" s="1"/>
      <c r="F254" s="1">
        <f t="shared" ca="1" si="4"/>
        <v>0</v>
      </c>
      <c r="G254" s="1"/>
      <c r="H254" s="1"/>
      <c r="I254" s="1"/>
      <c r="J254" s="1"/>
      <c r="K254" s="1"/>
      <c r="L254" s="1"/>
      <c r="M254" s="1"/>
      <c r="N254" s="1"/>
      <c r="O254" s="1"/>
    </row>
    <row r="255" spans="1:15" ht="15" customHeight="1" x14ac:dyDescent="0.25">
      <c r="A255" s="1"/>
      <c r="B255" s="12"/>
      <c r="C255" s="1"/>
      <c r="D255" s="1"/>
      <c r="E255" s="1"/>
      <c r="F255" s="1">
        <f t="shared" ca="1" si="4"/>
        <v>0</v>
      </c>
      <c r="G255" s="1"/>
      <c r="H255" s="1"/>
      <c r="I255" s="1"/>
      <c r="J255" s="1"/>
      <c r="K255" s="1"/>
      <c r="L255" s="1"/>
      <c r="M255" s="1"/>
      <c r="N255" s="1"/>
      <c r="O255" s="1"/>
    </row>
    <row r="256" spans="1:15" ht="15" customHeight="1" x14ac:dyDescent="0.25">
      <c r="A256" s="1"/>
      <c r="B256" s="12"/>
      <c r="C256" s="1"/>
      <c r="D256" s="1"/>
      <c r="E256" s="1"/>
      <c r="F256" s="1">
        <f t="shared" ca="1" si="4"/>
        <v>0</v>
      </c>
      <c r="G256" s="1"/>
      <c r="H256" s="1"/>
      <c r="I256" s="1"/>
      <c r="J256" s="1"/>
      <c r="K256" s="1"/>
      <c r="L256" s="1"/>
      <c r="M256" s="1"/>
      <c r="N256" s="1"/>
      <c r="O256" s="1"/>
    </row>
    <row r="257" spans="1:15" ht="15" customHeight="1" x14ac:dyDescent="0.25">
      <c r="A257" s="1"/>
      <c r="B257" s="12"/>
      <c r="C257" s="1"/>
      <c r="D257" s="1"/>
      <c r="E257" s="1"/>
      <c r="F257" s="1">
        <f t="shared" ca="1" si="4"/>
        <v>0</v>
      </c>
      <c r="G257" s="1"/>
      <c r="H257" s="1"/>
      <c r="I257" s="1"/>
      <c r="J257" s="1"/>
      <c r="K257" s="1"/>
      <c r="L257" s="1"/>
      <c r="M257" s="1"/>
      <c r="N257" s="1"/>
      <c r="O257" s="1"/>
    </row>
    <row r="258" spans="1:15" ht="15" customHeight="1" x14ac:dyDescent="0.25">
      <c r="A258" s="1"/>
      <c r="B258" s="12"/>
      <c r="C258" s="1"/>
      <c r="D258" s="1"/>
      <c r="E258" s="1"/>
      <c r="F258" s="1">
        <f t="shared" ca="1" si="4"/>
        <v>0</v>
      </c>
      <c r="G258" s="1"/>
      <c r="H258" s="1"/>
      <c r="I258" s="1"/>
      <c r="J258" s="1"/>
      <c r="K258" s="1"/>
      <c r="L258" s="1"/>
      <c r="M258" s="1"/>
      <c r="N258" s="1"/>
      <c r="O258" s="1"/>
    </row>
    <row r="259" spans="1:15" ht="15" customHeight="1" x14ac:dyDescent="0.25">
      <c r="A259" s="1"/>
      <c r="B259" s="12"/>
      <c r="C259" s="1"/>
      <c r="D259" s="1"/>
      <c r="E259" s="1"/>
      <c r="F259" s="1">
        <f t="shared" ca="1" si="4"/>
        <v>0</v>
      </c>
      <c r="G259" s="1"/>
      <c r="H259" s="1"/>
      <c r="I259" s="1"/>
      <c r="J259" s="1"/>
      <c r="K259" s="1"/>
      <c r="L259" s="1"/>
      <c r="M259" s="1"/>
      <c r="N259" s="1"/>
      <c r="O259" s="1"/>
    </row>
    <row r="260" spans="1:15" ht="15" customHeight="1" x14ac:dyDescent="0.25">
      <c r="A260" s="1"/>
      <c r="B260" s="12"/>
      <c r="C260" s="1"/>
      <c r="D260" s="1"/>
      <c r="E260" s="1"/>
      <c r="F260" s="1">
        <f t="shared" ca="1" si="4"/>
        <v>0</v>
      </c>
      <c r="G260" s="1"/>
      <c r="H260" s="1"/>
      <c r="I260" s="1"/>
      <c r="J260" s="1"/>
      <c r="K260" s="1"/>
      <c r="L260" s="1"/>
      <c r="M260" s="1"/>
      <c r="N260" s="1"/>
      <c r="O260" s="1"/>
    </row>
    <row r="261" spans="1:15" ht="15" customHeight="1" x14ac:dyDescent="0.25">
      <c r="A261" s="1"/>
      <c r="B261" s="12"/>
      <c r="C261" s="1"/>
      <c r="D261" s="1"/>
      <c r="E261" s="1"/>
      <c r="F261" s="1">
        <f t="shared" ca="1" si="4"/>
        <v>0</v>
      </c>
      <c r="G261" s="1"/>
      <c r="H261" s="1"/>
      <c r="I261" s="1"/>
      <c r="J261" s="1"/>
      <c r="K261" s="1"/>
      <c r="L261" s="1"/>
      <c r="M261" s="1"/>
      <c r="N261" s="1"/>
      <c r="O261" s="1"/>
    </row>
    <row r="262" spans="1:15" ht="15" customHeight="1" x14ac:dyDescent="0.25">
      <c r="A262" s="1"/>
      <c r="B262" s="12"/>
      <c r="C262" s="1"/>
      <c r="D262" s="1"/>
      <c r="E262" s="1"/>
      <c r="F262" s="1">
        <f t="shared" ca="1" si="4"/>
        <v>0</v>
      </c>
      <c r="G262" s="1"/>
      <c r="H262" s="1"/>
      <c r="I262" s="1"/>
      <c r="J262" s="1"/>
      <c r="K262" s="1"/>
      <c r="L262" s="1"/>
      <c r="M262" s="1"/>
      <c r="N262" s="1"/>
      <c r="O262" s="1"/>
    </row>
    <row r="263" spans="1:15" ht="15" customHeight="1" x14ac:dyDescent="0.25">
      <c r="A263" s="1"/>
      <c r="B263" s="12"/>
      <c r="C263" s="1"/>
      <c r="D263" s="1"/>
      <c r="E263" s="1"/>
      <c r="F263" s="1">
        <f t="shared" ca="1" si="4"/>
        <v>0</v>
      </c>
      <c r="G263" s="1"/>
      <c r="H263" s="1"/>
      <c r="I263" s="1"/>
      <c r="J263" s="1"/>
      <c r="K263" s="1"/>
      <c r="L263" s="1"/>
      <c r="M263" s="1"/>
      <c r="N263" s="1"/>
      <c r="O263" s="1"/>
    </row>
    <row r="264" spans="1:15" ht="15" customHeight="1" x14ac:dyDescent="0.25">
      <c r="A264" s="1"/>
      <c r="B264" s="12"/>
      <c r="C264" s="1"/>
      <c r="D264" s="1"/>
      <c r="E264" s="1"/>
      <c r="F264" s="1">
        <f t="shared" ca="1" si="4"/>
        <v>0</v>
      </c>
      <c r="G264" s="1"/>
      <c r="H264" s="1"/>
      <c r="I264" s="1"/>
      <c r="J264" s="1"/>
      <c r="K264" s="1"/>
      <c r="L264" s="1"/>
      <c r="M264" s="1"/>
      <c r="N264" s="1"/>
      <c r="O264" s="1"/>
    </row>
    <row r="265" spans="1:15" ht="15" customHeight="1" x14ac:dyDescent="0.25">
      <c r="A265" s="1"/>
      <c r="B265" s="12"/>
      <c r="C265" s="1"/>
      <c r="D265" s="1"/>
      <c r="E265" s="1"/>
      <c r="F265" s="1">
        <f t="shared" ca="1" si="4"/>
        <v>0</v>
      </c>
      <c r="G265" s="1"/>
      <c r="H265" s="1"/>
      <c r="I265" s="1"/>
      <c r="J265" s="1"/>
      <c r="K265" s="1"/>
      <c r="L265" s="1"/>
      <c r="M265" s="1"/>
      <c r="N265" s="1"/>
      <c r="O265" s="1"/>
    </row>
    <row r="266" spans="1:15" ht="15" customHeight="1" x14ac:dyDescent="0.25">
      <c r="A266" s="1"/>
      <c r="B266" s="12"/>
      <c r="C266" s="1"/>
      <c r="D266" s="1"/>
      <c r="E266" s="1"/>
      <c r="F266" s="1">
        <f t="shared" ca="1" si="4"/>
        <v>0</v>
      </c>
      <c r="G266" s="1"/>
      <c r="H266" s="1"/>
      <c r="I266" s="1"/>
      <c r="J266" s="1"/>
      <c r="K266" s="1"/>
      <c r="L266" s="1"/>
      <c r="M266" s="1"/>
      <c r="N266" s="1"/>
      <c r="O266" s="1"/>
    </row>
    <row r="267" spans="1:15" ht="15" customHeight="1" x14ac:dyDescent="0.25">
      <c r="A267" s="1"/>
      <c r="B267" s="12"/>
      <c r="C267" s="1"/>
      <c r="D267" s="1"/>
      <c r="E267" s="1"/>
      <c r="F267" s="1">
        <f t="shared" ca="1" si="4"/>
        <v>0</v>
      </c>
      <c r="G267" s="1"/>
      <c r="H267" s="1"/>
      <c r="I267" s="1"/>
      <c r="J267" s="1"/>
      <c r="K267" s="1"/>
      <c r="L267" s="1"/>
      <c r="M267" s="1"/>
      <c r="N267" s="1"/>
      <c r="O267" s="1"/>
    </row>
    <row r="268" spans="1:15" ht="15" customHeight="1" x14ac:dyDescent="0.25">
      <c r="A268" s="1"/>
      <c r="B268" s="12"/>
      <c r="C268" s="1"/>
      <c r="D268" s="1"/>
      <c r="E268" s="1"/>
      <c r="F268" s="1">
        <f t="shared" ca="1" si="4"/>
        <v>0</v>
      </c>
      <c r="G268" s="1"/>
      <c r="H268" s="1"/>
      <c r="I268" s="1"/>
      <c r="J268" s="1"/>
      <c r="K268" s="1"/>
      <c r="L268" s="1"/>
      <c r="M268" s="1"/>
      <c r="N268" s="1"/>
      <c r="O268" s="1"/>
    </row>
    <row r="269" spans="1:15" ht="15" customHeight="1" x14ac:dyDescent="0.25">
      <c r="A269" s="1"/>
      <c r="B269" s="12"/>
      <c r="C269" s="1"/>
      <c r="D269" s="1"/>
      <c r="E269" s="1"/>
      <c r="F269" s="1">
        <f t="shared" ca="1" si="4"/>
        <v>0</v>
      </c>
      <c r="G269" s="1"/>
      <c r="H269" s="1"/>
      <c r="I269" s="1"/>
      <c r="J269" s="1"/>
      <c r="K269" s="1"/>
      <c r="L269" s="1"/>
      <c r="M269" s="1"/>
      <c r="N269" s="1"/>
      <c r="O269" s="1"/>
    </row>
    <row r="270" spans="1:15" ht="15" customHeight="1" x14ac:dyDescent="0.25">
      <c r="A270" s="1"/>
      <c r="B270" s="12"/>
      <c r="C270" s="1"/>
      <c r="D270" s="1"/>
      <c r="E270" s="1"/>
      <c r="F270" s="1">
        <f t="shared" ca="1" si="4"/>
        <v>0</v>
      </c>
      <c r="G270" s="1"/>
      <c r="H270" s="1"/>
      <c r="I270" s="1"/>
      <c r="J270" s="1"/>
      <c r="K270" s="1"/>
      <c r="L270" s="1"/>
      <c r="M270" s="1"/>
      <c r="N270" s="1"/>
      <c r="O270" s="1"/>
    </row>
    <row r="271" spans="1:15" ht="15" customHeight="1" x14ac:dyDescent="0.25">
      <c r="A271" s="1"/>
      <c r="B271" s="12"/>
      <c r="C271" s="1"/>
      <c r="D271" s="1"/>
      <c r="E271" s="1"/>
      <c r="F271" s="1">
        <f t="shared" ca="1" si="4"/>
        <v>0</v>
      </c>
      <c r="G271" s="1"/>
      <c r="H271" s="1"/>
      <c r="I271" s="1"/>
      <c r="J271" s="1"/>
      <c r="K271" s="1"/>
      <c r="L271" s="1"/>
      <c r="M271" s="1"/>
      <c r="N271" s="1"/>
      <c r="O271" s="1"/>
    </row>
    <row r="272" spans="1:15" ht="15" customHeight="1" x14ac:dyDescent="0.25">
      <c r="A272" s="1"/>
      <c r="B272" s="12"/>
      <c r="C272" s="1"/>
      <c r="D272" s="1"/>
      <c r="E272" s="1"/>
      <c r="F272" s="1">
        <f t="shared" ca="1" si="4"/>
        <v>0</v>
      </c>
      <c r="G272" s="1"/>
      <c r="H272" s="1"/>
      <c r="I272" s="1"/>
      <c r="J272" s="1"/>
      <c r="K272" s="1"/>
      <c r="L272" s="1"/>
      <c r="M272" s="1"/>
      <c r="N272" s="1"/>
      <c r="O272" s="1"/>
    </row>
    <row r="273" spans="1:15" ht="15" customHeight="1" x14ac:dyDescent="0.25">
      <c r="A273" s="1"/>
      <c r="B273" s="12"/>
      <c r="C273" s="1"/>
      <c r="D273" s="1"/>
      <c r="E273" s="1"/>
      <c r="F273" s="1">
        <f t="shared" ca="1" si="4"/>
        <v>0</v>
      </c>
      <c r="G273" s="1"/>
      <c r="H273" s="1"/>
      <c r="I273" s="1"/>
      <c r="J273" s="1"/>
      <c r="K273" s="1"/>
      <c r="L273" s="1"/>
      <c r="M273" s="1"/>
      <c r="N273" s="1"/>
      <c r="O273" s="1"/>
    </row>
    <row r="274" spans="1:15" ht="15" customHeight="1" x14ac:dyDescent="0.25">
      <c r="A274" s="1"/>
      <c r="B274" s="12"/>
      <c r="C274" s="1"/>
      <c r="D274" s="1"/>
      <c r="E274" s="1"/>
      <c r="F274" s="1">
        <f t="shared" ca="1" si="4"/>
        <v>0</v>
      </c>
      <c r="G274" s="1"/>
      <c r="H274" s="1"/>
      <c r="I274" s="1"/>
      <c r="J274" s="1"/>
      <c r="K274" s="1"/>
      <c r="L274" s="1"/>
      <c r="M274" s="1"/>
      <c r="N274" s="1"/>
      <c r="O274" s="1"/>
    </row>
    <row r="275" spans="1:15" ht="15" customHeight="1" x14ac:dyDescent="0.25">
      <c r="A275" s="1"/>
      <c r="B275" s="12"/>
      <c r="C275" s="1"/>
      <c r="D275" s="1"/>
      <c r="E275" s="1"/>
      <c r="F275" s="1">
        <f t="shared" ca="1" si="4"/>
        <v>0</v>
      </c>
      <c r="G275" s="1"/>
      <c r="H275" s="1"/>
      <c r="I275" s="1"/>
      <c r="J275" s="1"/>
      <c r="K275" s="1"/>
      <c r="L275" s="1"/>
      <c r="M275" s="1"/>
      <c r="N275" s="1"/>
      <c r="O275" s="1"/>
    </row>
    <row r="276" spans="1:15" ht="15" customHeight="1" x14ac:dyDescent="0.25">
      <c r="A276" s="1"/>
      <c r="B276" s="12"/>
      <c r="C276" s="1"/>
      <c r="D276" s="1"/>
      <c r="E276" s="1"/>
      <c r="F276" s="1">
        <f t="shared" ca="1" si="4"/>
        <v>0</v>
      </c>
      <c r="G276" s="1"/>
      <c r="H276" s="1"/>
      <c r="I276" s="1"/>
      <c r="J276" s="1"/>
      <c r="K276" s="1"/>
      <c r="L276" s="1"/>
      <c r="M276" s="1"/>
      <c r="N276" s="1"/>
      <c r="O276" s="1"/>
    </row>
    <row r="277" spans="1:15" ht="15" customHeight="1" x14ac:dyDescent="0.25">
      <c r="A277" s="1"/>
      <c r="B277" s="12"/>
      <c r="C277" s="1"/>
      <c r="D277" s="1"/>
      <c r="E277" s="1"/>
      <c r="F277" s="1">
        <f t="shared" ca="1" si="4"/>
        <v>0</v>
      </c>
      <c r="G277" s="1"/>
      <c r="H277" s="1"/>
      <c r="I277" s="1"/>
      <c r="J277" s="1"/>
      <c r="K277" s="1"/>
      <c r="L277" s="1"/>
      <c r="M277" s="1"/>
      <c r="N277" s="1"/>
      <c r="O277" s="1"/>
    </row>
    <row r="278" spans="1:15" ht="15" customHeight="1" x14ac:dyDescent="0.25">
      <c r="A278" s="1"/>
      <c r="B278" s="12"/>
      <c r="C278" s="1"/>
      <c r="D278" s="1"/>
      <c r="E278" s="1"/>
      <c r="F278" s="1">
        <f t="shared" ca="1" si="4"/>
        <v>0</v>
      </c>
      <c r="G278" s="1"/>
      <c r="H278" s="1"/>
      <c r="I278" s="1"/>
      <c r="J278" s="1"/>
      <c r="K278" s="1"/>
      <c r="L278" s="1"/>
      <c r="M278" s="1"/>
      <c r="N278" s="1"/>
      <c r="O278" s="1"/>
    </row>
    <row r="279" spans="1:15" ht="15" customHeight="1" x14ac:dyDescent="0.25">
      <c r="A279" s="1"/>
      <c r="B279" s="12"/>
      <c r="C279" s="1"/>
      <c r="D279" s="1"/>
      <c r="E279" s="1"/>
      <c r="F279" s="1">
        <f t="shared" ca="1" si="4"/>
        <v>0</v>
      </c>
      <c r="G279" s="1"/>
      <c r="H279" s="1"/>
      <c r="I279" s="1"/>
      <c r="J279" s="1"/>
      <c r="K279" s="1"/>
      <c r="L279" s="1"/>
      <c r="M279" s="1"/>
      <c r="N279" s="1"/>
      <c r="O279" s="1"/>
    </row>
    <row r="280" spans="1:15" ht="15" customHeight="1" x14ac:dyDescent="0.25">
      <c r="A280" s="1"/>
      <c r="B280" s="12"/>
      <c r="C280" s="1"/>
      <c r="D280" s="1"/>
      <c r="E280" s="1"/>
      <c r="F280" s="1">
        <f t="shared" ca="1" si="4"/>
        <v>0</v>
      </c>
      <c r="G280" s="1"/>
      <c r="H280" s="1"/>
      <c r="I280" s="1"/>
      <c r="J280" s="1"/>
      <c r="K280" s="1"/>
      <c r="L280" s="1"/>
      <c r="M280" s="1"/>
      <c r="N280" s="1"/>
      <c r="O280" s="1"/>
    </row>
    <row r="281" spans="1:15" ht="15" customHeight="1" x14ac:dyDescent="0.25">
      <c r="A281" s="1"/>
      <c r="B281" s="12"/>
      <c r="C281" s="1"/>
      <c r="D281" s="1"/>
      <c r="E281" s="1"/>
      <c r="F281" s="1">
        <f t="shared" ca="1" si="4"/>
        <v>0</v>
      </c>
      <c r="G281" s="1"/>
      <c r="H281" s="1"/>
      <c r="I281" s="1"/>
      <c r="J281" s="1"/>
      <c r="K281" s="1"/>
      <c r="L281" s="1"/>
      <c r="M281" s="1"/>
      <c r="N281" s="1"/>
      <c r="O281" s="1"/>
    </row>
    <row r="282" spans="1:15" ht="15" customHeight="1" x14ac:dyDescent="0.25">
      <c r="A282" s="1"/>
      <c r="B282" s="12"/>
      <c r="C282" s="1"/>
      <c r="D282" s="1"/>
      <c r="E282" s="1"/>
      <c r="F282" s="1">
        <f t="shared" ca="1" si="4"/>
        <v>0</v>
      </c>
      <c r="G282" s="1"/>
      <c r="H282" s="1"/>
      <c r="I282" s="1"/>
      <c r="J282" s="1"/>
      <c r="K282" s="1"/>
      <c r="L282" s="1"/>
      <c r="M282" s="1"/>
      <c r="N282" s="1"/>
      <c r="O282" s="1"/>
    </row>
    <row r="283" spans="1:15" ht="15" customHeight="1" x14ac:dyDescent="0.25">
      <c r="A283" s="1"/>
      <c r="B283" s="12"/>
      <c r="C283" s="1"/>
      <c r="D283" s="1"/>
      <c r="E283" s="1"/>
      <c r="F283" s="1">
        <f t="shared" ca="1" si="4"/>
        <v>0</v>
      </c>
      <c r="G283" s="1"/>
      <c r="H283" s="1"/>
      <c r="I283" s="1"/>
      <c r="J283" s="1"/>
      <c r="K283" s="1"/>
      <c r="L283" s="1"/>
      <c r="M283" s="1"/>
      <c r="N283" s="1"/>
      <c r="O283" s="1"/>
    </row>
    <row r="284" spans="1:15" ht="15" customHeight="1" x14ac:dyDescent="0.25">
      <c r="A284" s="1"/>
      <c r="B284" s="12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1:15" ht="15" customHeight="1" x14ac:dyDescent="0.25">
      <c r="A285" s="1"/>
      <c r="B285" s="12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1:15" ht="15" customHeight="1" x14ac:dyDescent="0.25">
      <c r="A286" s="1"/>
      <c r="B286" s="12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1:15" ht="15" customHeight="1" x14ac:dyDescent="0.25">
      <c r="A287" s="1"/>
      <c r="B287" s="12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1:15" ht="15" customHeight="1" x14ac:dyDescent="0.25">
      <c r="A288" s="1"/>
      <c r="B288" s="12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1:15" ht="15" customHeight="1" x14ac:dyDescent="0.25">
      <c r="A289" s="1"/>
      <c r="B289" s="12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1:15" ht="15" customHeight="1" x14ac:dyDescent="0.25">
      <c r="A290" s="1"/>
      <c r="B290" s="12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1:15" ht="15" customHeight="1" x14ac:dyDescent="0.25">
      <c r="A291" s="1"/>
      <c r="B291" s="12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1:15" ht="15" customHeight="1" x14ac:dyDescent="0.25">
      <c r="A292" s="1"/>
      <c r="B292" s="12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1:15" ht="15" customHeight="1" x14ac:dyDescent="0.25">
      <c r="A293" s="1"/>
      <c r="B293" s="12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1:15" ht="15" customHeight="1" x14ac:dyDescent="0.25">
      <c r="A294" s="1"/>
      <c r="B294" s="12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1:15" ht="15" customHeight="1" x14ac:dyDescent="0.25">
      <c r="A295" s="1"/>
      <c r="B295" s="12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1:15" ht="15" customHeight="1" x14ac:dyDescent="0.25">
      <c r="A296" s="1"/>
      <c r="B296" s="12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1:15" ht="15" customHeight="1" x14ac:dyDescent="0.25">
      <c r="A297" s="1"/>
      <c r="B297" s="12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1:15" ht="15" customHeight="1" x14ac:dyDescent="0.25">
      <c r="A298" s="1"/>
      <c r="B298" s="12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1:15" ht="15" customHeight="1" x14ac:dyDescent="0.25">
      <c r="A299" s="1"/>
      <c r="B299" s="12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1:15" ht="15" customHeight="1" x14ac:dyDescent="0.25">
      <c r="A300" s="1"/>
      <c r="B300" s="12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1:15" ht="15" customHeight="1" x14ac:dyDescent="0.25">
      <c r="A301" s="1"/>
      <c r="B301" s="12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1:15" ht="15" customHeight="1" x14ac:dyDescent="0.25">
      <c r="A302" s="1"/>
      <c r="B302" s="12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1:15" ht="15" customHeight="1" x14ac:dyDescent="0.25">
      <c r="A303" s="1"/>
      <c r="B303" s="12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1:15" ht="15" customHeight="1" x14ac:dyDescent="0.25">
      <c r="A304" s="1"/>
      <c r="B304" s="12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1:15" ht="15" customHeight="1" x14ac:dyDescent="0.25">
      <c r="A305" s="1"/>
      <c r="B305" s="12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1:15" ht="15" customHeight="1" x14ac:dyDescent="0.25">
      <c r="A306" s="1"/>
      <c r="B306" s="12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1:15" ht="15" customHeight="1" x14ac:dyDescent="0.25">
      <c r="A307" s="1"/>
      <c r="B307" s="12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1:15" ht="15" customHeight="1" x14ac:dyDescent="0.25">
      <c r="A308" s="1"/>
      <c r="B308" s="12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1:15" ht="15" customHeight="1" x14ac:dyDescent="0.25">
      <c r="A309" s="1"/>
      <c r="B309" s="12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1:15" ht="15" customHeight="1" x14ac:dyDescent="0.25">
      <c r="A310" s="1"/>
      <c r="B310" s="12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ht="15" customHeight="1" x14ac:dyDescent="0.25">
      <c r="A311" s="1"/>
      <c r="B311" s="12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ht="15" customHeight="1" x14ac:dyDescent="0.25">
      <c r="A312" s="1"/>
      <c r="B312" s="12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ht="15" customHeight="1" x14ac:dyDescent="0.25">
      <c r="A313" s="1"/>
      <c r="B313" s="12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ht="15" customHeight="1" x14ac:dyDescent="0.25">
      <c r="A314" s="1"/>
      <c r="B314" s="12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ht="15" customHeight="1" x14ac:dyDescent="0.25">
      <c r="A315" s="1"/>
      <c r="B315" s="12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ht="15" customHeight="1" x14ac:dyDescent="0.25">
      <c r="A316" s="1"/>
      <c r="B316" s="12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ht="15" customHeight="1" x14ac:dyDescent="0.25">
      <c r="A317" s="1"/>
      <c r="B317" s="12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ht="15" customHeight="1" x14ac:dyDescent="0.25">
      <c r="A318" s="1"/>
      <c r="B318" s="12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ht="15" customHeight="1" x14ac:dyDescent="0.25">
      <c r="A319" s="1"/>
      <c r="B319" s="12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ht="15" customHeight="1" x14ac:dyDescent="0.25">
      <c r="A320" s="1"/>
      <c r="B320" s="12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1:15" ht="15" customHeight="1" x14ac:dyDescent="0.25">
      <c r="A321" s="1"/>
      <c r="B321" s="12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1:15" ht="15" customHeight="1" x14ac:dyDescent="0.25">
      <c r="A322" s="1"/>
      <c r="B322" s="12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1:15" ht="15" customHeight="1" x14ac:dyDescent="0.25">
      <c r="A323" s="1"/>
      <c r="B323" s="12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1:15" ht="15" customHeight="1" x14ac:dyDescent="0.25">
      <c r="A324" s="1"/>
      <c r="B324" s="12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1:15" ht="15" customHeight="1" x14ac:dyDescent="0.25">
      <c r="A325" s="1"/>
      <c r="B325" s="12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1:15" ht="15" customHeight="1" x14ac:dyDescent="0.25">
      <c r="A326" s="1"/>
      <c r="B326" s="12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1:15" ht="15" customHeight="1" x14ac:dyDescent="0.25">
      <c r="A327" s="1"/>
      <c r="B327" s="12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1:15" ht="15" customHeight="1" x14ac:dyDescent="0.25">
      <c r="A328" s="1"/>
      <c r="B328" s="12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1:15" ht="15" customHeight="1" x14ac:dyDescent="0.25">
      <c r="A329" s="1"/>
      <c r="B329" s="12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1:15" ht="15" customHeight="1" x14ac:dyDescent="0.25">
      <c r="A330" s="1"/>
      <c r="B330" s="12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1:15" ht="15" customHeight="1" x14ac:dyDescent="0.25">
      <c r="A331" s="1"/>
      <c r="B331" s="12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1:15" ht="15" customHeight="1" x14ac:dyDescent="0.25">
      <c r="A332" s="1"/>
      <c r="B332" s="12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1:15" ht="15" customHeight="1" x14ac:dyDescent="0.25">
      <c r="A333" s="1"/>
      <c r="B333" s="12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1:15" ht="15" customHeight="1" x14ac:dyDescent="0.25">
      <c r="A334" s="1"/>
      <c r="B334" s="12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1:15" ht="15" customHeight="1" x14ac:dyDescent="0.25">
      <c r="A335" s="1"/>
      <c r="B335" s="12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1:15" ht="15" customHeight="1" x14ac:dyDescent="0.25">
      <c r="A336" s="1"/>
      <c r="B336" s="12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1:15" ht="15" customHeight="1" x14ac:dyDescent="0.25">
      <c r="A337" s="1"/>
      <c r="B337" s="12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1:15" ht="15" customHeight="1" x14ac:dyDescent="0.25">
      <c r="A338" s="1"/>
      <c r="B338" s="12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1:15" ht="15" customHeight="1" x14ac:dyDescent="0.25">
      <c r="A339" s="1"/>
      <c r="B339" s="12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1:15" ht="15" customHeight="1" x14ac:dyDescent="0.25">
      <c r="A340" s="1"/>
      <c r="B340" s="12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1:15" ht="15" customHeight="1" x14ac:dyDescent="0.25">
      <c r="A341" s="1"/>
      <c r="B341" s="12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1:15" ht="15" customHeight="1" x14ac:dyDescent="0.25">
      <c r="A342" s="1"/>
      <c r="B342" s="12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1:15" ht="15" customHeight="1" x14ac:dyDescent="0.25">
      <c r="A343" s="1"/>
      <c r="B343" s="12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1:15" ht="15" customHeight="1" x14ac:dyDescent="0.25">
      <c r="A344" s="1"/>
      <c r="B344" s="12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1:15" ht="15" customHeight="1" x14ac:dyDescent="0.25">
      <c r="A345" s="1"/>
      <c r="B345" s="12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1:15" ht="15" customHeight="1" x14ac:dyDescent="0.25">
      <c r="A346" s="1"/>
      <c r="B346" s="12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1:15" ht="15" customHeight="1" x14ac:dyDescent="0.25">
      <c r="A347" s="1"/>
      <c r="B347" s="12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1:15" ht="15" customHeight="1" x14ac:dyDescent="0.25">
      <c r="A348" s="1"/>
      <c r="B348" s="12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1:15" ht="15" customHeight="1" x14ac:dyDescent="0.25">
      <c r="A349" s="1"/>
      <c r="B349" s="12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1:15" ht="15" customHeight="1" x14ac:dyDescent="0.25">
      <c r="A350" s="1"/>
      <c r="B350" s="12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1:15" ht="15" customHeight="1" x14ac:dyDescent="0.25">
      <c r="A351" s="1"/>
      <c r="B351" s="12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1:15" ht="15" customHeight="1" x14ac:dyDescent="0.25">
      <c r="A352" s="1"/>
      <c r="B352" s="12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1:15" ht="15" customHeight="1" x14ac:dyDescent="0.25">
      <c r="A353" s="1"/>
      <c r="B353" s="12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1:15" ht="15" customHeight="1" x14ac:dyDescent="0.25">
      <c r="A354" s="1"/>
      <c r="B354" s="12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1:15" ht="15" customHeight="1" x14ac:dyDescent="0.25">
      <c r="A355" s="1"/>
      <c r="B355" s="12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1:15" ht="15" customHeight="1" x14ac:dyDescent="0.25">
      <c r="A356" s="1"/>
      <c r="B356" s="12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1:15" ht="15" customHeight="1" x14ac:dyDescent="0.25">
      <c r="A357" s="1"/>
      <c r="B357" s="12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1:15" ht="15" customHeight="1" x14ac:dyDescent="0.25">
      <c r="A358" s="1"/>
      <c r="B358" s="12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1:15" ht="15" customHeight="1" x14ac:dyDescent="0.25">
      <c r="A359" s="1"/>
      <c r="B359" s="12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1:15" ht="15" customHeight="1" x14ac:dyDescent="0.25">
      <c r="A360" s="1"/>
      <c r="B360" s="12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1:15" ht="15" customHeight="1" x14ac:dyDescent="0.25">
      <c r="A361" s="1"/>
      <c r="B361" s="12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1:15" ht="15" customHeight="1" x14ac:dyDescent="0.25">
      <c r="A362" s="1"/>
      <c r="B362" s="12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1:15" ht="15" customHeight="1" x14ac:dyDescent="0.25">
      <c r="A363" s="1"/>
      <c r="B363" s="12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1:15" ht="15" customHeight="1" x14ac:dyDescent="0.25">
      <c r="A364" s="1"/>
      <c r="B364" s="12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1:15" ht="15" customHeight="1" x14ac:dyDescent="0.25">
      <c r="A365" s="1"/>
      <c r="B365" s="12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1:15" ht="15" customHeight="1" x14ac:dyDescent="0.25">
      <c r="A366" s="1"/>
      <c r="B366" s="12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1:15" ht="15" customHeight="1" x14ac:dyDescent="0.25">
      <c r="A367" s="1"/>
      <c r="B367" s="12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1:15" ht="15" customHeight="1" x14ac:dyDescent="0.25">
      <c r="A368" s="1"/>
      <c r="B368" s="12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1:15" ht="15" customHeight="1" x14ac:dyDescent="0.25">
      <c r="A369" s="1"/>
      <c r="B369" s="12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1:15" ht="15" customHeight="1" x14ac:dyDescent="0.25">
      <c r="A370" s="1"/>
      <c r="B370" s="12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1:15" ht="15" customHeight="1" x14ac:dyDescent="0.25">
      <c r="A371" s="1"/>
      <c r="B371" s="12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1:15" ht="15" customHeight="1" x14ac:dyDescent="0.25">
      <c r="A372" s="1"/>
      <c r="B372" s="12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1:15" ht="15" customHeight="1" x14ac:dyDescent="0.25">
      <c r="A373" s="1"/>
      <c r="B373" s="12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1:15" ht="15" customHeight="1" x14ac:dyDescent="0.25">
      <c r="A374" s="1"/>
      <c r="B374" s="12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1:15" ht="15" customHeight="1" x14ac:dyDescent="0.25">
      <c r="A375" s="1"/>
      <c r="B375" s="12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1:15" ht="15" customHeight="1" x14ac:dyDescent="0.25">
      <c r="A376" s="1"/>
      <c r="B376" s="12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1:15" ht="15" customHeight="1" x14ac:dyDescent="0.25">
      <c r="A377" s="1"/>
      <c r="B377" s="12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1:15" ht="15" customHeight="1" x14ac:dyDescent="0.25">
      <c r="A378" s="1"/>
      <c r="B378" s="12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1:15" ht="15" customHeight="1" x14ac:dyDescent="0.25">
      <c r="A379" s="1"/>
      <c r="B379" s="12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1:15" ht="15" customHeight="1" x14ac:dyDescent="0.25">
      <c r="A380" s="1"/>
      <c r="B380" s="12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1:15" ht="15" customHeight="1" x14ac:dyDescent="0.25">
      <c r="A381" s="1"/>
      <c r="B381" s="12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1:15" ht="15" customHeight="1" x14ac:dyDescent="0.25">
      <c r="A382" s="1"/>
      <c r="B382" s="12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1:15" ht="15" customHeight="1" x14ac:dyDescent="0.25">
      <c r="A383" s="1"/>
      <c r="B383" s="12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1:15" ht="15" customHeight="1" x14ac:dyDescent="0.25">
      <c r="A384" s="1"/>
      <c r="B384" s="12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1:15" ht="15" customHeight="1" x14ac:dyDescent="0.25">
      <c r="A385" s="1"/>
      <c r="B385" s="12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1:15" ht="15" customHeight="1" x14ac:dyDescent="0.25">
      <c r="A386" s="1"/>
      <c r="B386" s="12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1:15" ht="15" customHeight="1" x14ac:dyDescent="0.25">
      <c r="A387" s="1"/>
      <c r="B387" s="12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1:15" ht="15" customHeight="1" x14ac:dyDescent="0.25">
      <c r="A388" s="1"/>
      <c r="B388" s="12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1:15" ht="15" customHeight="1" x14ac:dyDescent="0.25">
      <c r="A389" s="1"/>
      <c r="B389" s="12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1:15" ht="15" customHeight="1" x14ac:dyDescent="0.25">
      <c r="A390" s="1"/>
      <c r="B390" s="12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1:15" ht="15" customHeight="1" x14ac:dyDescent="0.25">
      <c r="A391" s="1"/>
      <c r="B391" s="12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1:15" ht="15" customHeight="1" x14ac:dyDescent="0.25">
      <c r="A392" s="1"/>
      <c r="B392" s="12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1:15" ht="15" customHeight="1" x14ac:dyDescent="0.25">
      <c r="A393" s="1"/>
      <c r="B393" s="12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1:15" ht="15" customHeight="1" x14ac:dyDescent="0.25">
      <c r="A394" s="1"/>
      <c r="B394" s="12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1:15" ht="15" customHeight="1" x14ac:dyDescent="0.25">
      <c r="A395" s="1"/>
      <c r="B395" s="12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1:15" ht="15" customHeight="1" x14ac:dyDescent="0.25">
      <c r="A396" s="1"/>
      <c r="B396" s="12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1:15" ht="15" customHeight="1" x14ac:dyDescent="0.25">
      <c r="A397" s="1"/>
      <c r="B397" s="12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1:15" ht="15" customHeight="1" x14ac:dyDescent="0.25">
      <c r="A398" s="1"/>
      <c r="B398" s="12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1:15" ht="15" customHeight="1" x14ac:dyDescent="0.25">
      <c r="A399" s="1"/>
      <c r="B399" s="12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1:15" ht="15" customHeight="1" x14ac:dyDescent="0.25">
      <c r="A400" s="1"/>
      <c r="B400" s="12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1:15" ht="15" customHeight="1" x14ac:dyDescent="0.25">
      <c r="A401" s="1"/>
      <c r="B401" s="12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1:15" ht="15" customHeight="1" x14ac:dyDescent="0.25">
      <c r="A402" s="1"/>
      <c r="B402" s="12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1:15" ht="15" customHeight="1" x14ac:dyDescent="0.25">
      <c r="A403" s="1"/>
      <c r="B403" s="12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1:15" ht="15" customHeight="1" x14ac:dyDescent="0.25">
      <c r="A404" s="1"/>
      <c r="B404" s="12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1:15" ht="15" customHeight="1" x14ac:dyDescent="0.25">
      <c r="A405" s="1"/>
      <c r="B405" s="12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1:15" ht="15" customHeight="1" x14ac:dyDescent="0.25">
      <c r="A406" s="1"/>
      <c r="B406" s="12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1:15" ht="15" customHeight="1" x14ac:dyDescent="0.25">
      <c r="A407" s="1"/>
      <c r="B407" s="12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1:15" ht="15" customHeight="1" x14ac:dyDescent="0.25">
      <c r="A408" s="1"/>
      <c r="B408" s="12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1:15" ht="15" customHeight="1" x14ac:dyDescent="0.25">
      <c r="A409" s="1"/>
      <c r="B409" s="12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1:15" ht="15" customHeight="1" x14ac:dyDescent="0.25">
      <c r="A410" s="1"/>
      <c r="B410" s="12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1:15" ht="15" customHeight="1" x14ac:dyDescent="0.25">
      <c r="A411" s="1"/>
      <c r="B411" s="12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1:15" ht="15" customHeight="1" x14ac:dyDescent="0.25">
      <c r="A412" s="1"/>
      <c r="B412" s="12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1:15" ht="15" customHeight="1" x14ac:dyDescent="0.25">
      <c r="A413" s="1"/>
      <c r="B413" s="12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1:15" ht="15" customHeight="1" x14ac:dyDescent="0.25">
      <c r="A414" s="1"/>
      <c r="B414" s="12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1:15" ht="15" customHeight="1" x14ac:dyDescent="0.25">
      <c r="A415" s="1"/>
      <c r="B415" s="12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1:15" ht="15" customHeight="1" x14ac:dyDescent="0.25">
      <c r="A416" s="1"/>
      <c r="B416" s="12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1:15" ht="15" customHeight="1" x14ac:dyDescent="0.25">
      <c r="A417" s="1"/>
      <c r="B417" s="12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1:15" ht="15" customHeight="1" x14ac:dyDescent="0.25">
      <c r="A418" s="1"/>
      <c r="B418" s="12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1:15" ht="15" customHeight="1" x14ac:dyDescent="0.25">
      <c r="A419" s="1"/>
      <c r="B419" s="12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1:15" ht="15" customHeight="1" x14ac:dyDescent="0.25">
      <c r="A420" s="1"/>
      <c r="B420" s="12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1:15" ht="15" customHeight="1" x14ac:dyDescent="0.25">
      <c r="A421" s="1"/>
      <c r="B421" s="12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1:15" ht="15" customHeight="1" x14ac:dyDescent="0.25">
      <c r="A422" s="1"/>
      <c r="B422" s="12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1:15" ht="15" customHeight="1" x14ac:dyDescent="0.25">
      <c r="A423" s="1"/>
      <c r="B423" s="12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1:15" ht="15" customHeight="1" x14ac:dyDescent="0.25">
      <c r="A424" s="1"/>
      <c r="B424" s="12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1:15" ht="15" customHeight="1" x14ac:dyDescent="0.25">
      <c r="A425" s="1"/>
      <c r="B425" s="12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1:15" ht="15" customHeight="1" x14ac:dyDescent="0.25">
      <c r="A426" s="1"/>
      <c r="B426" s="12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1:15" ht="15" customHeight="1" x14ac:dyDescent="0.25">
      <c r="A427" s="1"/>
      <c r="B427" s="12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1:15" ht="15" customHeight="1" x14ac:dyDescent="0.25">
      <c r="A428" s="1"/>
      <c r="B428" s="12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1:15" ht="15" customHeight="1" x14ac:dyDescent="0.25">
      <c r="A429" s="1"/>
      <c r="B429" s="12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1:15" ht="15" customHeight="1" x14ac:dyDescent="0.25">
      <c r="A430" s="1"/>
      <c r="B430" s="12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1:15" ht="15" customHeight="1" x14ac:dyDescent="0.25">
      <c r="A431" s="1"/>
      <c r="B431" s="12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1:15" ht="15" customHeight="1" x14ac:dyDescent="0.25">
      <c r="A432" s="1"/>
      <c r="B432" s="12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1:15" ht="15" customHeight="1" x14ac:dyDescent="0.25">
      <c r="A433" s="1"/>
      <c r="B433" s="12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1:15" ht="15" customHeight="1" x14ac:dyDescent="0.25">
      <c r="A434" s="1"/>
      <c r="B434" s="12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1:15" ht="15" customHeight="1" x14ac:dyDescent="0.25">
      <c r="A435" s="1"/>
      <c r="B435" s="12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1:15" ht="15" customHeight="1" x14ac:dyDescent="0.25">
      <c r="A436" s="1"/>
      <c r="B436" s="12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1:15" ht="15" customHeight="1" x14ac:dyDescent="0.25">
      <c r="A437" s="1"/>
      <c r="B437" s="12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1:15" ht="15" customHeight="1" x14ac:dyDescent="0.25">
      <c r="A438" s="1"/>
      <c r="B438" s="12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1:15" ht="15" customHeight="1" x14ac:dyDescent="0.25">
      <c r="A439" s="1"/>
      <c r="B439" s="12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1:15" ht="15" customHeight="1" x14ac:dyDescent="0.25">
      <c r="A440" s="1"/>
      <c r="B440" s="12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1:15" ht="15" customHeight="1" x14ac:dyDescent="0.25">
      <c r="A441" s="1"/>
      <c r="B441" s="12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1:15" ht="15" customHeight="1" x14ac:dyDescent="0.25">
      <c r="A442" s="1"/>
      <c r="B442" s="12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1:15" ht="15" customHeight="1" x14ac:dyDescent="0.25">
      <c r="A443" s="1"/>
      <c r="B443" s="12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1:15" ht="15" customHeight="1" x14ac:dyDescent="0.25">
      <c r="A444" s="1"/>
      <c r="B444" s="12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1:15" ht="15" customHeight="1" x14ac:dyDescent="0.25">
      <c r="A445" s="1"/>
      <c r="B445" s="12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1:15" ht="15" customHeight="1" x14ac:dyDescent="0.25">
      <c r="A446" s="1"/>
      <c r="B446" s="12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1:15" ht="15" customHeight="1" x14ac:dyDescent="0.25">
      <c r="A447" s="1"/>
      <c r="B447" s="12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1:15" ht="15" customHeight="1" x14ac:dyDescent="0.25">
      <c r="A448" s="1"/>
      <c r="B448" s="12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1:15" ht="15" customHeight="1" x14ac:dyDescent="0.25">
      <c r="A449" s="1"/>
      <c r="B449" s="12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1:15" ht="15" customHeight="1" x14ac:dyDescent="0.25">
      <c r="A450" s="1"/>
      <c r="B450" s="12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1:15" ht="15" customHeight="1" x14ac:dyDescent="0.25">
      <c r="A451" s="1"/>
      <c r="B451" s="12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1:15" ht="15" customHeight="1" x14ac:dyDescent="0.25">
      <c r="A452" s="1"/>
      <c r="B452" s="12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1:15" ht="15" customHeight="1" x14ac:dyDescent="0.25">
      <c r="A453" s="1"/>
      <c r="B453" s="12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1:15" ht="15" customHeight="1" x14ac:dyDescent="0.25">
      <c r="A454" s="1"/>
      <c r="B454" s="12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1:15" ht="15" customHeight="1" x14ac:dyDescent="0.25">
      <c r="A455" s="1"/>
      <c r="B455" s="12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1:15" ht="15" customHeight="1" x14ac:dyDescent="0.25">
      <c r="A456" s="1"/>
      <c r="B456" s="12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1:15" ht="15" customHeight="1" x14ac:dyDescent="0.25">
      <c r="A457" s="1"/>
      <c r="B457" s="12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1:15" ht="15" customHeight="1" x14ac:dyDescent="0.25">
      <c r="A458" s="1"/>
      <c r="B458" s="12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1:15" ht="15" customHeight="1" x14ac:dyDescent="0.25">
      <c r="A459" s="1"/>
      <c r="B459" s="12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1:15" ht="15" customHeight="1" x14ac:dyDescent="0.25">
      <c r="A460" s="1"/>
      <c r="B460" s="12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1:15" ht="15" customHeight="1" x14ac:dyDescent="0.25">
      <c r="A461" s="1"/>
      <c r="B461" s="12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1:15" ht="15" customHeight="1" x14ac:dyDescent="0.25">
      <c r="A462" s="1"/>
      <c r="B462" s="12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1:15" ht="15" customHeight="1" x14ac:dyDescent="0.25">
      <c r="A463" s="1"/>
      <c r="B463" s="12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1:15" ht="15" customHeight="1" x14ac:dyDescent="0.25">
      <c r="A464" s="1"/>
      <c r="B464" s="12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ht="15" customHeight="1" x14ac:dyDescent="0.25">
      <c r="A465" s="1"/>
      <c r="B465" s="12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ht="15" customHeight="1" x14ac:dyDescent="0.25">
      <c r="A466" s="1"/>
      <c r="B466" s="12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ht="15" customHeight="1" x14ac:dyDescent="0.25">
      <c r="A467" s="1"/>
      <c r="B467" s="12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ht="15" customHeight="1" x14ac:dyDescent="0.25">
      <c r="A468" s="1"/>
      <c r="B468" s="12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ht="15" customHeight="1" x14ac:dyDescent="0.25">
      <c r="A469" s="1"/>
      <c r="B469" s="12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ht="15" customHeight="1" x14ac:dyDescent="0.25">
      <c r="A470" s="1"/>
      <c r="B470" s="12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ht="15" customHeight="1" x14ac:dyDescent="0.25">
      <c r="A471" s="1"/>
      <c r="B471" s="12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ht="15" customHeight="1" x14ac:dyDescent="0.25">
      <c r="A472" s="1"/>
      <c r="B472" s="12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ht="15" customHeight="1" x14ac:dyDescent="0.25">
      <c r="A473" s="1"/>
      <c r="B473" s="12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ht="15" customHeight="1" x14ac:dyDescent="0.25">
      <c r="A474" s="1"/>
      <c r="B474" s="12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ht="15" customHeight="1" x14ac:dyDescent="0.25">
      <c r="A475" s="1"/>
      <c r="B475" s="12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ht="15" customHeight="1" x14ac:dyDescent="0.25">
      <c r="A476" s="1"/>
      <c r="B476" s="12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ht="15" customHeight="1" x14ac:dyDescent="0.25">
      <c r="A477" s="1"/>
      <c r="B477" s="12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15" customHeight="1" x14ac:dyDescent="0.25">
      <c r="A478" s="1"/>
      <c r="B478" s="12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ht="15" customHeight="1" x14ac:dyDescent="0.25">
      <c r="A479" s="1"/>
      <c r="B479" s="12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ht="15" customHeight="1" x14ac:dyDescent="0.25">
      <c r="A480" s="1"/>
      <c r="B480" s="12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ht="15" customHeight="1" x14ac:dyDescent="0.25">
      <c r="A481" s="1"/>
      <c r="B481" s="12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ht="15" customHeight="1" x14ac:dyDescent="0.25">
      <c r="A482" s="1"/>
      <c r="B482" s="12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ht="15" customHeight="1" x14ac:dyDescent="0.25">
      <c r="A483" s="1"/>
      <c r="B483" s="12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ht="15" customHeight="1" x14ac:dyDescent="0.25">
      <c r="A484" s="1"/>
      <c r="B484" s="12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ht="15" customHeight="1" x14ac:dyDescent="0.25">
      <c r="A485" s="1"/>
      <c r="B485" s="12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ht="15" customHeight="1" x14ac:dyDescent="0.25">
      <c r="A486" s="1"/>
      <c r="B486" s="12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ht="15" customHeight="1" x14ac:dyDescent="0.25">
      <c r="A487" s="1"/>
      <c r="B487" s="12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ht="15" customHeight="1" x14ac:dyDescent="0.25">
      <c r="A488" s="1"/>
      <c r="B488" s="12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ht="15" customHeight="1" x14ac:dyDescent="0.25">
      <c r="A489" s="1"/>
      <c r="B489" s="12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ht="15" customHeight="1" x14ac:dyDescent="0.25">
      <c r="A490" s="1"/>
      <c r="B490" s="12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ht="15" customHeight="1" x14ac:dyDescent="0.25">
      <c r="A491" s="1"/>
      <c r="B491" s="12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ht="15" customHeight="1" x14ac:dyDescent="0.25">
      <c r="A492" s="1"/>
      <c r="B492" s="12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ht="15" customHeight="1" x14ac:dyDescent="0.25"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ht="15" customHeight="1" x14ac:dyDescent="0.25"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ht="15" customHeight="1" x14ac:dyDescent="0.25"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ht="15" customHeight="1" x14ac:dyDescent="0.25"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3:15" ht="15" customHeight="1" x14ac:dyDescent="0.25"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3:15" ht="15" customHeight="1" x14ac:dyDescent="0.25"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</sheetData>
  <phoneticPr fontId="9" type="noConversion"/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71BF1-3B5A-4137-918F-7B374D7A55EA}">
  <sheetPr codeName="Sheet4"/>
  <dimension ref="A1:L7"/>
  <sheetViews>
    <sheetView workbookViewId="0">
      <selection activeCell="L2" sqref="L2:L7"/>
    </sheetView>
  </sheetViews>
  <sheetFormatPr defaultRowHeight="15" x14ac:dyDescent="0.25"/>
  <cols>
    <col min="1" max="1" width="25.85546875" bestFit="1" customWidth="1"/>
    <col min="2" max="2" width="11.140625" bestFit="1" customWidth="1"/>
    <col min="8" max="8" width="24.85546875" bestFit="1" customWidth="1"/>
  </cols>
  <sheetData>
    <row r="1" spans="1:12" x14ac:dyDescent="0.25">
      <c r="A1" t="s">
        <v>68</v>
      </c>
      <c r="B1" t="str">
        <f>SUM(Inventory!E:E)&amp;" item(s)"</f>
        <v>319 item(s)</v>
      </c>
      <c r="H1" t="s">
        <v>72</v>
      </c>
      <c r="J1" t="s">
        <v>13</v>
      </c>
      <c r="L1" t="s">
        <v>80</v>
      </c>
    </row>
    <row r="2" spans="1:12" x14ac:dyDescent="0.25">
      <c r="A2" t="s">
        <v>69</v>
      </c>
      <c r="B2" s="7">
        <f>SUM(Inventory!F:F)</f>
        <v>2753500</v>
      </c>
      <c r="H2" t="s">
        <v>73</v>
      </c>
      <c r="J2" t="s">
        <v>77</v>
      </c>
      <c r="L2" t="s">
        <v>81</v>
      </c>
    </row>
    <row r="3" spans="1:12" x14ac:dyDescent="0.25">
      <c r="A3" t="s">
        <v>70</v>
      </c>
      <c r="B3" s="7">
        <f>SUM(Inventory!G:G)</f>
        <v>1044300</v>
      </c>
      <c r="H3" t="s">
        <v>74</v>
      </c>
      <c r="J3" t="s">
        <v>78</v>
      </c>
      <c r="L3" t="s">
        <v>84</v>
      </c>
    </row>
    <row r="4" spans="1:12" x14ac:dyDescent="0.25">
      <c r="A4" t="s">
        <v>65</v>
      </c>
      <c r="B4">
        <f>SUM('Product Master'!H:H)</f>
        <v>111</v>
      </c>
      <c r="H4" t="s">
        <v>75</v>
      </c>
      <c r="J4" t="s">
        <v>79</v>
      </c>
      <c r="L4" t="s">
        <v>82</v>
      </c>
    </row>
    <row r="5" spans="1:12" x14ac:dyDescent="0.25">
      <c r="A5" t="s">
        <v>66</v>
      </c>
      <c r="B5">
        <f>SUM('Product Master'!I:I)</f>
        <v>22</v>
      </c>
      <c r="H5" t="s">
        <v>76</v>
      </c>
      <c r="L5" t="s">
        <v>83</v>
      </c>
    </row>
    <row r="6" spans="1:12" x14ac:dyDescent="0.25">
      <c r="A6" t="s">
        <v>64</v>
      </c>
      <c r="B6">
        <f>SUM('Product Master'!G:G)</f>
        <v>187</v>
      </c>
      <c r="H6" t="s">
        <v>149</v>
      </c>
      <c r="L6" t="s">
        <v>85</v>
      </c>
    </row>
    <row r="7" spans="1:12" x14ac:dyDescent="0.25">
      <c r="L7" t="s">
        <v>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Report</vt:lpstr>
      <vt:lpstr>Inventory</vt:lpstr>
      <vt:lpstr>Stock In-Out</vt:lpstr>
      <vt:lpstr>Product Master</vt:lpstr>
      <vt:lpstr>Support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Vandana Jha</dc:creator>
  <cp:lastModifiedBy>Israel Josiah</cp:lastModifiedBy>
  <dcterms:created xsi:type="dcterms:W3CDTF">2021-01-14T07:46:38Z</dcterms:created>
  <dcterms:modified xsi:type="dcterms:W3CDTF">2023-11-07T13:54:25Z</dcterms:modified>
</cp:coreProperties>
</file>